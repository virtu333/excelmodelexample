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ipeline Assumptions" sheetId="2" state="visible" r:id="rId4"/>
    <sheet name="Anchor Revenue" sheetId="3" state="visible" r:id="rId5"/>
    <sheet name="Expansion Pipeline" sheetId="4" state="visible" r:id="rId6"/>
    <sheet name="Combined Summary" sheetId="5" state="visible" r:id="rId7"/>
    <sheet name="Cost Forecast" sheetId="6" state="visible" r:id="rId8"/>
    <sheet name="P&amp;L Summary" sheetId="7" state="visible" r:id="rId9"/>
    <sheet name="Valuation - Anchor" sheetId="8" state="visible" r:id="rId10"/>
    <sheet name="Valuation - Total" sheetId="9" state="visible" r:id="rId11"/>
    <sheet name="Sources" sheetId="10" state="visible" r:id="rId12"/>
    <sheet name="Sensitivity Analys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<sst xmlns="http://schemas.openxmlformats.org/spreadsheetml/2006/main" count="1257" uniqueCount="725">
  <si>
    <t xml:space="preserve">Quarter Index Reference</t>
  </si>
  <si>
    <t xml:space="preserve">Q1'27</t>
  </si>
  <si>
    <t xml:space="preserve">Q2'27</t>
  </si>
  <si>
    <t xml:space="preserve">Q3'27</t>
  </si>
  <si>
    <t xml:space="preserve">Q4'27</t>
  </si>
  <si>
    <t xml:space="preserve">Q1'28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</si>
  <si>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</si>
  <si>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</si>
  <si>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</si>
  <si>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</si>
  <si>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</si>
  <si>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</si>
  <si>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</si>
  <si>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</si>
  <si>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</si>
  <si>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</si>
  <si>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</si>
  <si>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Q1'31</t>
  </si>
  <si>
    <t xml:space="preserve">Q2'31</t>
  </si>
  <si>
    <t xml:space="preserve">Q3'31</t>
  </si>
  <si>
    <t xml:space="preserve">Q4'31</t>
  </si>
  <si>
    <t xml:space="preserve">Anchor Distribution Partners</t>
  </si>
  <si>
    <t xml:space="preserve">Partner 1 Atlas</t>
  </si>
  <si>
    <t xml:space="preserve">Partner 2 Titan</t>
  </si>
  <si>
    <t xml:space="preserve">Partner 3 Apex</t>
  </si>
  <si>
    <t xml:space="preserve">Partner 4 Vanguard</t>
  </si>
  <si>
    <t xml:space="preserve">Partner 5 Nimble</t>
  </si>
  <si>
    <t xml:space="preserve">Number of Zones</t>
  </si>
  <si>
    <t xml:space="preserve">Planning Start Quarter</t>
  </si>
  <si>
    <t xml:space="preserve">Go-Live Quarter</t>
  </si>
  <si>
    <t xml:space="preserve">License Activation Quarter</t>
  </si>
  <si>
    <t xml:space="preserve">Implementation MSRP</t>
  </si>
  <si>
    <t xml:space="preserve">Annual Licensing Fee</t>
  </si>
  <si>
    <t xml:space="preserve">Per-Zone Implementation MSRP</t>
  </si>
  <si>
    <t xml:space="preserve">Per-Zone Annual License</t>
  </si>
  <si>
    <t xml:space="preserve">Total Anchor Zones</t>
  </si>
  <si>
    <t xml:space="preserve">Total Implementation Revenue</t>
  </si>
  <si>
    <t xml:space="preserve">Total Annual Licensing</t>
  </si>
  <si>
    <t xml:space="preserve">Implementation Payment Terms</t>
  </si>
  <si>
    <t xml:space="preserve">40/35/25</t>
  </si>
  <si>
    <t xml:space="preserve">% at Signing</t>
  </si>
  <si>
    <t xml:space="preserve">% at Go-Live</t>
  </si>
  <si>
    <t xml:space="preserve">% at Month 12</t>
  </si>
  <si>
    <t xml:space="preserve">Zone Go-Live Ramp</t>
  </si>
  <si>
    <t xml:space="preserve">  Partner 1 Atlas</t>
  </si>
  <si>
    <t xml:space="preserve">  Partner 2 Titan</t>
  </si>
  <si>
    <t xml:space="preserve">  Partner 3 Apex</t>
  </si>
  <si>
    <t xml:space="preserve">  Partner 4 Vanguard</t>
  </si>
  <si>
    <t xml:space="preserve">  Partner 5 Nimble</t>
  </si>
  <si>
    <t xml:space="preserve">  Total Zones Going Live</t>
  </si>
  <si>
    <t xml:space="preserve">  Cumulative Zones Live</t>
  </si>
  <si>
    <t xml:space="preserve">Quarter Index Lookups</t>
  </si>
  <si>
    <t xml:space="preserve">Planning Start Index</t>
  </si>
  <si>
    <t xml:space="preserve">Go-Live Index</t>
  </si>
  <si>
    <t xml:space="preserve">License Activation Index</t>
  </si>
  <si>
    <t xml:space="preserve">Expansion Customer Pricing</t>
  </si>
  <si>
    <t xml:space="preserve">Implementation Fee (per zone)</t>
  </si>
  <si>
    <t xml:space="preserve">Program Consulting Fee (per partner)</t>
  </si>
  <si>
    <t xml:space="preserve">Annual Subscription (per zone/year)</t>
  </si>
  <si>
    <t xml:space="preserve">Planning + Implementation (months)</t>
  </si>
  <si>
    <t xml:space="preserve">Implementation to Go-Live (quarters)</t>
  </si>
  <si>
    <t xml:space="preserve">See 'Pipeline Assumptions' tab</t>
  </si>
  <si>
    <t xml:space="preserve">Utilization Pricing</t>
  </si>
  <si>
    <t xml:space="preserve">Tier 1 $/minute</t>
  </si>
  <si>
    <t xml:space="preserve">Tier 2 $/minute</t>
  </si>
  <si>
    <t xml:space="preserve">Predictive Maintenance $/robot/month</t>
  </si>
  <si>
    <t xml:space="preserve">Vision Inspection $/scan</t>
  </si>
  <si>
    <t xml:space="preserve">Use Case Definitions</t>
  </si>
  <si>
    <t xml:space="preserve">Use Case</t>
  </si>
  <si>
    <t xml:space="preserve">Tier</t>
  </si>
  <si>
    <t xml:space="preserve">Qtrs After Go-Live</t>
  </si>
  <si>
    <t xml:space="preserve">Avg Min</t>
  </si>
  <si>
    <t xml:space="preserve">Ops/Zone/Wk (Maturity)</t>
  </si>
  <si>
    <t xml:space="preserve">Autonomous Picking</t>
  </si>
  <si>
    <t xml:space="preserve">Tier 1</t>
  </si>
  <si>
    <t xml:space="preserve">Pallet Sorting</t>
  </si>
  <si>
    <t xml:space="preserve">Tier 2</t>
  </si>
  <si>
    <t xml:space="preserve">Inventory Scanning</t>
  </si>
  <si>
    <t xml:space="preserve">Zone Transfer</t>
  </si>
  <si>
    <t xml:space="preserve">Mixed-Case Depalletizing</t>
  </si>
  <si>
    <t xml:space="preserve">Predictive Maintenance</t>
  </si>
  <si>
    <t xml:space="preserve">Fixed</t>
  </si>
  <si>
    <t xml:space="preserve">—</t>
  </si>
  <si>
    <t xml:space="preserve">Vision Quality Inspection</t>
  </si>
  <si>
    <t xml:space="preserve">[New Use Case]</t>
  </si>
  <si>
    <t xml:space="preserve">Hockey Stick Ramp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</si>
  <si>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</si>
  <si>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</si>
  <si>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</si>
  <si>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</si>
  <si>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</si>
  <si>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</si>
  <si>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</si>
  <si>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</si>
  <si>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Site Volume Decay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</si>
  <si>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</si>
  <si>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</si>
  <si>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</si>
  <si>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</si>
  <si>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</si>
  <si>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</si>
  <si>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Blended Average (6 zones)</t>
  </si>
  <si>
    <t xml:space="preserve">Blended Average (5 zones)</t>
  </si>
  <si>
    <t xml:space="preserve">Blended Average (4 zones)</t>
  </si>
  <si>
    <t xml:space="preserve">Blended Average (3 zones)</t>
  </si>
  <si>
    <t xml:space="preserve">Blended Average (2 zones)</t>
  </si>
  <si>
    <t xml:space="preserve">Robots per Zone</t>
  </si>
  <si>
    <t xml:space="preserve">Maintenance Ramp Start</t>
  </si>
  <si>
    <t xml:space="preserve">Quarters to Full Maintenance</t>
  </si>
  <si>
    <t xml:space="preserve">Scans per Zone per Month</t>
  </si>
  <si>
    <t xml:space="preserve">Scenario Volumes (ops/zone/wk at maturity)</t>
  </si>
  <si>
    <t xml:space="preserve">Bear</t>
  </si>
  <si>
    <t xml:space="preserve">Base</t>
  </si>
  <si>
    <t xml:space="preserve">Bull</t>
  </si>
  <si>
    <t xml:space="preserve">Evidence Range</t>
  </si>
  <si>
    <t xml:space="preserve">10-35</t>
  </si>
  <si>
    <t xml:space="preserve">15-50</t>
  </si>
  <si>
    <t xml:space="preserve">2-15</t>
  </si>
  <si>
    <t xml:space="preserve">2-8</t>
  </si>
  <si>
    <t xml:space="preserve">2-12</t>
  </si>
  <si>
    <t xml:space="preserve">Site Cost Assumptions</t>
  </si>
  <si>
    <t xml:space="preserve">Non-Recurring Cost (first zone)</t>
  </si>
  <si>
    <t xml:space="preserve">Monthly Recurring Cost (per zone)</t>
  </si>
  <si>
    <t xml:space="preserve">Additional Zone Discount</t>
  </si>
  <si>
    <t xml:space="preserve">Annual Recurring Cost (per site)</t>
  </si>
  <si>
    <t xml:space="preserve">Quarterly Recurring Cost (per site)</t>
  </si>
  <si>
    <t xml:space="preserve">NRC per Additional Zone</t>
  </si>
  <si>
    <t xml:space="preserve">Quarterly Recurring per Add'l Zone</t>
  </si>
  <si>
    <t xml:space="preserve">Blended NRC per Zone (3-zone avg)</t>
  </si>
  <si>
    <t xml:space="preserve">Blended Qtly Recurring per Zone (3-zone avg)</t>
  </si>
  <si>
    <t xml:space="preserve">Operating Expense Assumptions</t>
  </si>
  <si>
    <t xml:space="preserve">G&amp;A OpEx (% of Revenue)</t>
  </si>
  <si>
    <t xml:space="preserve">R&amp;D OpEx (% of Revenue)</t>
  </si>
  <si>
    <t xml:space="preserve">CapEx Amortization Period (years)</t>
  </si>
  <si>
    <t xml:space="preserve">EBITDA Terminal Multiple</t>
  </si>
  <si>
    <t xml:space="preserve">See Sources &amp; Notes section below for documentation of all assumptions</t>
  </si>
  <si>
    <t xml:space="preserve">SOURCES &amp; NOTES</t>
  </si>
  <si>
    <t xml:space="preserve">Ref</t>
  </si>
  <si>
    <t xml:space="preserve">Parameter</t>
  </si>
  <si>
    <t xml:space="preserve">Value</t>
  </si>
  <si>
    <t xml:space="preserve">Sources</t>
  </si>
  <si>
    <t xml:space="preserve">Notes</t>
  </si>
  <si>
    <t xml:space="preserve">ANCHOR DISTRIBUTION PARTNER CONFIG</t>
  </si>
  <si>
    <t xml:space="preserve">6 (Atlas)</t>
  </si>
  <si>
    <t xml:space="preserve">Locus Robotics deployment study; Atlas Logistics warehouse automation program</t>
  </si>
  <si>
    <t xml:space="preserve">Atlas: 12 distribution centers, 4,200+ daily SKU throughput. 6 zones = initial robotic footprint across 3 largest DCs.</t>
  </si>
  <si>
    <t xml:space="preserve">Arctura deployment timeline</t>
  </si>
  <si>
    <t xml:space="preserve">Assumes contract execution and site survey initiation.</t>
  </si>
  <si>
    <t xml:space="preserve">Q4'27 (planning+impl=8mo)</t>
  </si>
  <si>
    <t xml:space="preserve">Arctura implementation playbook</t>
  </si>
  <si>
    <t xml:space="preserve">8-month planning+implementation cycle. Derived from anchor_site_cost_summary.xlsx buildout timeline.</t>
  </si>
  <si>
    <t xml:space="preserve">$350K/zone</t>
  </si>
  <si>
    <t xml:space="preserve">Arctura cost model (anchor_site_cost_summary.xlsx)</t>
  </si>
  <si>
    <t xml:space="preserve">Cost basis ~$235K/site over 2 years (~$62K NRC + ~$7.5K/mo MRC). $350K MSRP = ~33% margin over cost.</t>
  </si>
  <si>
    <t xml:space="preserve">$85K/zone/yr</t>
  </si>
  <si>
    <t xml:space="preserve">Arctura pricing framework</t>
  </si>
  <si>
    <t xml:space="preserve">$510K/yr for 6-zone partner. Activates post-implementation. Covers platform, NOC, support, software updates.</t>
  </si>
  <si>
    <t xml:space="preserve">Arctura contract structure</t>
  </si>
  <si>
    <t xml:space="preserve">Begins after implementation complete + stabilization period. ~5-6 quarters post go-live for Partner 1.</t>
  </si>
  <si>
    <t xml:space="preserve">PER-ZONE ECONOMICS</t>
  </si>
  <si>
    <t xml:space="preserve">$350,000</t>
  </si>
  <si>
    <t xml:space="preserve">Arctura cost model; anchor_site_cost_summary.xlsx</t>
  </si>
  <si>
    <t xml:space="preserve">Includes conveyor integration, robotic arm installation, safety fencing, network build, commissioning. Volume discounts for zones 4-6 in cost model (20-28%) not reflected here — flat rate for simplicity.</t>
  </si>
  <si>
    <t xml:space="preserve">$85,000</t>
  </si>
  <si>
    <t xml:space="preserve">Justified against ~$875K/yr effective rate during implementation. Less than half ongoing cost.</t>
  </si>
  <si>
    <t xml:space="preserve">PAYMENT TERMS</t>
  </si>
  <si>
    <t xml:space="preserve">% at signing / go-live / month 12. Standard enterprise logistics capital deployment cadence.</t>
  </si>
  <si>
    <t xml:space="preserve">40%</t>
  </si>
  <si>
    <t xml:space="preserve">Funds initial procurement and infrastructure buildout.</t>
  </si>
  <si>
    <t xml:space="preserve">35%</t>
  </si>
  <si>
    <t xml:space="preserve">Triggered by successful commissioning and acceptance testing.</t>
  </si>
  <si>
    <t xml:space="preserve">25%</t>
  </si>
  <si>
    <t xml:space="preserve">Retention/performance holdback. Released after 12-month operational validation.</t>
  </si>
  <si>
    <t xml:space="preserve">EXPANSION CUSTOMER PRICING</t>
  </si>
  <si>
    <t xml:space="preserve">$30,000</t>
  </si>
  <si>
    <t xml:space="preserve">Arctura expansion cost model</t>
  </si>
  <si>
    <t xml:space="preserve">~$90K for 3-zone install. Dramatically lower than anchor due to standardized playbook, reduced NRE, and volume procurement.</t>
  </si>
  <si>
    <t xml:space="preserve">Program Consulting Fee</t>
  </si>
  <si>
    <t xml:space="preserve">$75,000/partner</t>
  </si>
  <si>
    <t xml:space="preserve">Arctura expansion pricing</t>
  </si>
  <si>
    <t xml:space="preserve">One-time strategic planning, workflow design, change management. Per-partner, not per-zone.</t>
  </si>
  <si>
    <t xml:space="preserve">Early Subscription (per zone/year)</t>
  </si>
  <si>
    <t xml:space="preserve">$95,000</t>
  </si>
  <si>
    <t xml:space="preserve">~12% premium over $85K license for no-upfront subscription model. Bundles implementation amortization.</t>
  </si>
  <si>
    <t xml:space="preserve">Annual License (post-impl)</t>
  </si>
  <si>
    <t xml:space="preserve">Same as anchor. Consistent pricing across customer cohorts for contract simplicity.</t>
  </si>
  <si>
    <t xml:space="preserve">Planning + Implementation</t>
  </si>
  <si>
    <t xml:space="preserve">8 months</t>
  </si>
  <si>
    <t xml:space="preserve">Same timeline as anchor. Future cohorts may compress to 6 months with standardized processes.</t>
  </si>
  <si>
    <t xml:space="preserve">UTILIZATION PRICING</t>
  </si>
  <si>
    <t xml:space="preserve">Tier 1 — $/minute</t>
  </si>
  <si>
    <t xml:space="preserve">$3.50/min</t>
  </si>
  <si>
    <t xml:space="preserve">Arctura pricing framework; operation economics analysis</t>
  </si>
  <si>
    <t xml:space="preserve">Mission-critical: autonomous picking, zone transfer, mixed-case depalletizing. Justified by $2.40/min cost basis + margin. Value-based: $3.50/min on 80-min operation = $280 vs $2K-$5K manual labor equivalent.</t>
  </si>
  <si>
    <t xml:space="preserve">Tier 2 — $/minute</t>
  </si>
  <si>
    <t xml:space="preserve">$0.75/min</t>
  </si>
  <si>
    <t xml:space="preserve">Priority but not mission-critical: pallet sorting. High volume compensates lower per-min rate. $0.75/min × 24 ops/wk × 15 min = ~$270/wk/zone.</t>
  </si>
  <si>
    <t xml:space="preserve">Predictive Maintenance — $/robot/month</t>
  </si>
  <si>
    <t xml:space="preserve">$40/robot/mo</t>
  </si>
  <si>
    <t xml:space="preserve">Arctura pricing framework; industry IoT monitoring benchmarks</t>
  </si>
  <si>
    <t xml:space="preserve">Industrial IoT maintenance platforms charge $50-$150/asset/mo for predictive analytics. $40/robot/mo = entry-level, leaves margin for warehouse operator. Source: MPI Manufacturing Study 2026.</t>
  </si>
  <si>
    <t xml:space="preserve">Vision Inspection — $/scan</t>
  </si>
  <si>
    <t xml:space="preserve">$12/scan</t>
  </si>
  <si>
    <t xml:space="preserve">Per automated quality inspection scan requiring real-time vision processing. Covers defect detection, dimensional verification, label compliance.</t>
  </si>
  <si>
    <t xml:space="preserve">USE CASE VOLUME ASSUMPTIONS</t>
  </si>
  <si>
    <t xml:space="preserve">Autonomous Picking — Tier</t>
  </si>
  <si>
    <t xml:space="preserve">Tier 1 ($3.50/min)</t>
  </si>
  <si>
    <t xml:space="preserve">Mission-critical: fully autonomous item retrieval and placement.</t>
  </si>
  <si>
    <t xml:space="preserve">Autonomous Picking — Activation</t>
  </si>
  <si>
    <t xml:space="preserve">Q+0 (at go-live)</t>
  </si>
  <si>
    <t xml:space="preserve">Arctura deployment sequencing</t>
  </si>
  <si>
    <t xml:space="preserve">Core operation. First to activate at each zone.</t>
  </si>
  <si>
    <t xml:space="preserve">Autonomous Picking — Avg Duration</t>
  </si>
  <si>
    <t xml:space="preserve">25 min</t>
  </si>
  <si>
    <t xml:space="preserve">Warehouse picking cycle benchmarks; MHIA operational standards</t>
  </si>
  <si>
    <t xml:space="preserve">Average cycle time for multi-item pick batch including travel, retrieval, and tote placement.</t>
  </si>
  <si>
    <t xml:space="preserve">Autonomous Picking — Volume</t>
  </si>
  <si>
    <t xml:space="preserve">18 ops/zone/wk</t>
  </si>
  <si>
    <t xml:space="preserve">WERC DC Measures study (2025); Berkshire Grey pilot deployment (50K+ picks/day top sites); Amazon Robotics throughput benchmarks; DHL Innovation Center case study</t>
  </si>
  <si>
    <t xml:space="preserve">Range: 12-35/wk. In-person baseline 40-200 picks/hr by site size. 10-25% autonomous conversion fraction. Conservative for large DCs, moderate for mid-size. Mostly substitution; net-new from extended shift coverage.</t>
  </si>
  <si>
    <t xml:space="preserve">Pallet Sorting — Tier</t>
  </si>
  <si>
    <t xml:space="preserve">Tier 2 ($0.75/min)</t>
  </si>
  <si>
    <t xml:space="preserve">Lower complexity than picking. High volume offsets lower rate.</t>
  </si>
  <si>
    <t xml:space="preserve">Pallet Sorting — Activation</t>
  </si>
  <si>
    <t xml:space="preserve">Q+1 after go-live</t>
  </si>
  <si>
    <t xml:space="preserve">Requires sorting-specific conveyor integration after initial platform go-live.</t>
  </si>
  <si>
    <t xml:space="preserve">Pallet Sorting — Avg Duration</t>
  </si>
  <si>
    <t xml:space="preserve">15 min</t>
  </si>
  <si>
    <t xml:space="preserve">Automated pallet handling operational protocols</t>
  </si>
  <si>
    <t xml:space="preserve">Focused sort cycle shorter than full pick-and-place (~25-35 min).</t>
  </si>
  <si>
    <t xml:space="preserve">Pallet Sorting — Volume</t>
  </si>
  <si>
    <t xml:space="preserve">24 ops/zone/wk</t>
  </si>
  <si>
    <t xml:space="preserve">MHIA sortation throughput study (350+ pallets/sorter/day); 500K sqft DC: 800 pallet moves/day; XPO Logistics automation report (2025); Warehouse scheduling study (30% peak surge)</t>
  </si>
  <si>
    <t xml:space="preserve">Range: 18-55/wk. Conservative estimate. Subset needing robotic handling: mixed-load pallets, fragile goods, non-standard dimensions. Excludes simple conveyor-only moves.</t>
  </si>
  <si>
    <t xml:space="preserve">Inventory Scanning — Tier</t>
  </si>
  <si>
    <t xml:space="preserve">Mission-critical autonomous cycle counting and location verification.</t>
  </si>
  <si>
    <t xml:space="preserve">Inventory Scanning — Avg Duration</t>
  </si>
  <si>
    <t xml:space="preserve">35 min</t>
  </si>
  <si>
    <t xml:space="preserve">Warehouse cycle count benchmarks; Zebra Technologies inventory study</t>
  </si>
  <si>
    <t xml:space="preserve">Full aisle scan including barcode/RFID read, location verification, discrepancy flagging.</t>
  </si>
  <si>
    <t xml:space="preserve">Inventory Scanning — Volume</t>
  </si>
  <si>
    <t xml:space="preserve">8 ops/zone/wk</t>
  </si>
  <si>
    <t xml:space="preserve">APICS cycle count frequency guidelines (daily high-value, weekly standard); GS1 inventory accuracy study (99.5% target); Ryder Supply Chain IoT deployment; Honeywell connected warehouse pilot</t>
  </si>
  <si>
    <t xml:space="preserve">REVISED from 12. Range: 3-14. Report 1: 4-8 steady-state (front-loaded demand during initial inventory baseline). Report 2: "Reasonable" at 12 for high-value zones. Base=8: broader than cycle-count-only, includes ad hoc location audits.</t>
  </si>
  <si>
    <t xml:space="preserve">Zone Transfer — Tier</t>
  </si>
  <si>
    <t xml:space="preserve">Highest-complexity autonomous transport operation.</t>
  </si>
  <si>
    <t xml:space="preserve">Zone Transfer — Avg Duration</t>
  </si>
  <si>
    <t xml:space="preserve">90 min</t>
  </si>
  <si>
    <t xml:space="preserve">Cross-zone transport cycle benchmarks</t>
  </si>
  <si>
    <t xml:space="preserve">Includes multi-stop routing, load balancing, and handoff coordination.</t>
  </si>
  <si>
    <t xml:space="preserve">Zone Transfer — Volume</t>
  </si>
  <si>
    <t xml:space="preserve">5 ops/zone/wk</t>
  </si>
  <si>
    <t xml:space="preserve">MHI Annual Report: avg 12 inter-zone moves/day large DCs; OSHA automated vehicle guidelines; Vecna Robotics multi-zone deployment data; Warehouse layout optimization study (2025)</t>
  </si>
  <si>
    <t xml:space="preserve">REVISED from 7. Range: 2-8. 5/wk = moderate inter-zone activity. 7/wk = high-throughput cross-dock. Both reports: "Aggressive unless dedicated fleet." Multi-robot coordination required.</t>
  </si>
  <si>
    <t xml:space="preserve">Mixed-Case Depalletizing — Tier</t>
  </si>
  <si>
    <t xml:space="preserve">Mission-critical heterogeneous load handling.</t>
  </si>
  <si>
    <t xml:space="preserve">Mixed-Case Depalletizing — Avg Duration</t>
  </si>
  <si>
    <t xml:space="preserve">80 min</t>
  </si>
  <si>
    <t xml:space="preserve">Multi-SKU depalletizing cycle benchmarks</t>
  </si>
  <si>
    <t xml:space="preserve">Blended: single-SKU ~40min, mixed-SKU ~60min, fragile/irregular ~120min.</t>
  </si>
  <si>
    <t xml:space="preserve">Mixed-Case Depalletizing — Volume</t>
  </si>
  <si>
    <t xml:space="preserve">6 ops/zone/wk</t>
  </si>
  <si>
    <t xml:space="preserve">Walmart inbound DC automation: 4,500 pallets/day; Kroger mixed-case facility: ~2,800 SKUs/facility; CSCMP depalletizing benchmark study; Covariant AI deployment metrics (2025)</t>
  </si>
  <si>
    <t xml:space="preserve">REVISED from 9. Range: 2-10. 6/wk = ~8% of 75-pallet/day zone robotic share. Report 1: "Aggressive." Report 2: "Reasonable" at 20% target. Requires vision+manipulation maturity.</t>
  </si>
  <si>
    <t xml:space="preserve">Predictive Maintenance — Model</t>
  </si>
  <si>
    <t xml:space="preserve">$/robot/mo, fixed</t>
  </si>
  <si>
    <t xml:space="preserve">Capacity metric, not operation count. Activates at go-live.</t>
  </si>
  <si>
    <t xml:space="preserve">Vision Quality Inspection — Model</t>
  </si>
  <si>
    <t xml:space="preserve">$/scan, fixed</t>
  </si>
  <si>
    <t xml:space="preserve">Activates with sorting (Q+1). Covers real-time defect and compliance checks.</t>
  </si>
  <si>
    <t xml:space="preserve">RAMP &amp; VOLUME DECAY</t>
  </si>
  <si>
    <t xml:space="preserve">Hockey Stick — Q1 Ramp</t>
  </si>
  <si>
    <t xml:space="preserve">12%</t>
  </si>
  <si>
    <t xml:space="preserve">Warehouse automation adoption curves; enterprise robotics ramp benchmarks</t>
  </si>
  <si>
    <t xml:space="preserve">Initial pilot volume. Safety certification, workflow integration, operator training.</t>
  </si>
  <si>
    <t xml:space="preserve">Hockey Stick — Q8 Maturity</t>
  </si>
  <si>
    <t xml:space="preserve">100%</t>
  </si>
  <si>
    <t xml:space="preserve">Warehouse automation adoption curves</t>
  </si>
  <si>
    <t xml:space="preserve">8-quarter (2-year) ramp to maturity. Consistent with industrial robotics deployment literature.</t>
  </si>
  <si>
    <t xml:space="preserve">Volume Decay — Zone 1 (Flagship)</t>
  </si>
  <si>
    <t xml:space="preserve">Multi-zone model (not hub-and-spoke)</t>
  </si>
  <si>
    <t xml:space="preserve">Flagship zone: highest volume, most mature teams, earliest activation.</t>
  </si>
  <si>
    <t xml:space="preserve">Volume Decay — Zone 2</t>
  </si>
  <si>
    <t xml:space="preserve">95%</t>
  </si>
  <si>
    <t xml:space="preserve">Multi-zone model; operational complexity scaling</t>
  </si>
  <si>
    <t xml:space="preserve">Slight reduction for second zone due to shared maintenance pool, scheduling friction.</t>
  </si>
  <si>
    <t xml:space="preserve">Volume Decay — Zone 3</t>
  </si>
  <si>
    <t xml:space="preserve">88%</t>
  </si>
  <si>
    <t xml:space="preserve">Multi-zone model; diminishing marginal volume</t>
  </si>
  <si>
    <t xml:space="preserve">Third zone: moderate reduction from robot fleet allocation constraints.</t>
  </si>
  <si>
    <t xml:space="preserve">Volume Decay — Zone 4</t>
  </si>
  <si>
    <t xml:space="preserve">80%</t>
  </si>
  <si>
    <t xml:space="preserve">Fourth zone: shared fleet and technician bandwidth.</t>
  </si>
  <si>
    <t xml:space="preserve">Volume Decay — Zone 5</t>
  </si>
  <si>
    <t xml:space="preserve">72%</t>
  </si>
  <si>
    <t xml:space="preserve">Fifth zone: smaller facility or later activation.</t>
  </si>
  <si>
    <t xml:space="preserve">Volume Decay — Zone 6</t>
  </si>
  <si>
    <t xml:space="preserve">65%</t>
  </si>
  <si>
    <t xml:space="preserve">Sixth zone: smallest deployment. Blended avg (6 zones) = 83%.</t>
  </si>
  <si>
    <t xml:space="preserve">MAINTENANCE &amp; INSPECTION BASELINES</t>
  </si>
  <si>
    <t xml:space="preserve">80</t>
  </si>
  <si>
    <t xml:space="preserve">Atlas Logistics fleet sizing study; Locus Robotics fleet density (100-150 bots/zone in large DCs); 6 River Systems warehouse deployment data</t>
  </si>
  <si>
    <t xml:space="preserve">480 total robots ÷ 6 zones. Atlas 12 DCs with 1,200+ robots total. 80/zone = moderate density for mixed autonomous fleet.</t>
  </si>
  <si>
    <t xml:space="preserve">40% at go-live</t>
  </si>
  <si>
    <t xml:space="preserve">Industrial IoT deployment literature</t>
  </si>
  <si>
    <t xml:space="preserve">Assumes partial fleet coverage at launch, ramping to full over 5 quarters.</t>
  </si>
  <si>
    <t xml:space="preserve">5 quarters</t>
  </si>
  <si>
    <t xml:space="preserve">Warehouse automation implementation timelines</t>
  </si>
  <si>
    <t xml:space="preserve">Full predictive coverage within 15 months of go-live.</t>
  </si>
  <si>
    <t xml:space="preserve">250</t>
  </si>
  <si>
    <t xml:space="preserve">Atlas: ~50K inspections/yr across DCs; Cognex vision system throughput: ~2K scans/line/day; MHIA quality inspection benchmarks; Machine vision ROI study (2025)</t>
  </si>
  <si>
    <t xml:space="preserve">Autonomous share = subset of total QC volume. Defect detection + dimensional verification + label compliance. 250/mo conservative per both reports.</t>
  </si>
  <si>
    <t xml:space="preserve">TECHNICAL &amp; OPERATIONAL</t>
  </si>
  <si>
    <t xml:space="preserve">[T1]</t>
  </si>
  <si>
    <t xml:space="preserve">Robot Control Latency — Ideal</t>
  </si>
  <si>
    <t xml:space="preserve">&lt;50 ms RTT</t>
  </si>
  <si>
    <t xml:space="preserve">Industrial robotics control reviews; 5G industrial IoT study (2025); Edge computing latency benchmarks</t>
  </si>
  <si>
    <t xml:space="preserve">50-100ms acceptable for picking tasks. &gt;150ms impacts precision grasping. &gt;300ms unsafe for high-speed operations.</t>
  </si>
  <si>
    <t xml:space="preserve">[T2]</t>
  </si>
  <si>
    <t xml:space="preserve">Control Latency — Demonstrated</t>
  </si>
  <si>
    <t xml:space="preserve">12-35 ms RTT</t>
  </si>
  <si>
    <t xml:space="preserve">AWS Wavelength edge demo (2024): 15ms; Azure Edge Zones: 12ms local; Verizon MEC: 35ms regional</t>
  </si>
  <si>
    <t xml:space="preserve">Arctura edge compute targets sub-20ms for intra-zone control loops.</t>
  </si>
  <si>
    <t xml:space="preserve">ATLAS LOGISTICS BASELINES</t>
  </si>
  <si>
    <t xml:space="preserve">[N1]</t>
  </si>
  <si>
    <t xml:space="preserve">Annual Shipments</t>
  </si>
  <si>
    <t xml:space="preserve">18,500,000/yr</t>
  </si>
  <si>
    <t xml:space="preserve">Atlas Logistics public fact sheet</t>
  </si>
  <si>
    <t xml:space="preserve">12 distribution centers + 150+ last-mile facilities.</t>
  </si>
  <si>
    <t xml:space="preserve">[N2]</t>
  </si>
  <si>
    <t xml:space="preserve">Daily Order Lines</t>
  </si>
  <si>
    <t xml:space="preserve">425,000/day</t>
  </si>
  <si>
    <t xml:space="preserve">[N3]</t>
  </si>
  <si>
    <t xml:space="preserve">QC Inspection Volume</t>
  </si>
  <si>
    <t xml:space="preserve">&gt;50,000/yr</t>
  </si>
  <si>
    <t xml:space="preserve">Atlas Logistics quality ops report</t>
  </si>
  <si>
    <t xml:space="preserve">Order-of-magnitude total inspection throughput.</t>
  </si>
  <si>
    <t xml:space="preserve">[N4]</t>
  </si>
  <si>
    <t xml:space="preserve">Existing Robotic Systems</t>
  </si>
  <si>
    <t xml:space="preserve">45 (end 2026)</t>
  </si>
  <si>
    <t xml:space="preserve">Locus Robotics enterprise deployment study</t>
  </si>
  <si>
    <t xml:space="preserve">Growth from 8 (2022). Autonomous picking = 18% of order volume, targeting 35%.</t>
  </si>
  <si>
    <t xml:space="preserve">[N5]</t>
  </si>
  <si>
    <t xml:space="preserve">High-Value SKU Picks</t>
  </si>
  <si>
    <t xml:space="preserve">&gt;8,000,000/yr (2026)</t>
  </si>
  <si>
    <t xml:space="preserve">Atlas Logistics operations report</t>
  </si>
  <si>
    <t xml:space="preserve">High-value only; total pick volume significantly higher.</t>
  </si>
  <si>
    <t xml:space="preserve">[N6]</t>
  </si>
  <si>
    <t xml:space="preserve">Active Robot Fleet</t>
  </si>
  <si>
    <t xml:space="preserve">~480 across 12 DCs</t>
  </si>
  <si>
    <t xml:space="preserve">Atlas Logistics automation paper</t>
  </si>
  <si>
    <t xml:space="preserve">Predictive maintenance covers 200 robots / 5 DCs = 42% penetration.</t>
  </si>
  <si>
    <t xml:space="preserve">SCENARIO VOLUMES (ops/zone/wk at maturity)</t>
  </si>
  <si>
    <t xml:space="preserve">12</t>
  </si>
  <si>
    <t xml:space="preserve">18</t>
  </si>
  <si>
    <t xml:space="preserve">30</t>
  </si>
  <si>
    <t xml:space="preserve">12-35</t>
  </si>
  <si>
    <t xml:space="preserve">24</t>
  </si>
  <si>
    <t xml:space="preserve">45</t>
  </si>
  <si>
    <t xml:space="preserve">18-55</t>
  </si>
  <si>
    <t xml:space="preserve">4</t>
  </si>
  <si>
    <t xml:space="preserve">8</t>
  </si>
  <si>
    <t xml:space="preserve">14</t>
  </si>
  <si>
    <t xml:space="preserve">3-14</t>
  </si>
  <si>
    <t xml:space="preserve">3</t>
  </si>
  <si>
    <t xml:space="preserve">5</t>
  </si>
  <si>
    <t xml:space="preserve">6</t>
  </si>
  <si>
    <t xml:space="preserve">10</t>
  </si>
  <si>
    <t xml:space="preserve">2-10</t>
  </si>
  <si>
    <t xml:space="preserve">REVISION LOG</t>
  </si>
  <si>
    <t xml:space="preserve">Previous</t>
  </si>
  <si>
    <t xml:space="preserve">Revised</t>
  </si>
  <si>
    <t xml:space="preserve">Δ</t>
  </si>
  <si>
    <t xml:space="preserve">Rationale</t>
  </si>
  <si>
    <t xml:space="preserve">-4</t>
  </si>
  <si>
    <t xml:space="preserve">Scanning demand front-loaded; steady-state 4-8 for routine cycle counts.</t>
  </si>
  <si>
    <t xml:space="preserve">7</t>
  </si>
  <si>
    <t xml:space="preserve">-2</t>
  </si>
  <si>
    <t xml:space="preserve">Multi-robot coordination constraints. Fleet allocation bottleneck.</t>
  </si>
  <si>
    <t xml:space="preserve">9</t>
  </si>
  <si>
    <t xml:space="preserve">-3</t>
  </si>
  <si>
    <t xml:space="preserve">~8% robotic share of total pallet volume. Vision+manipulation maturity assumed.</t>
  </si>
  <si>
    <t xml:space="preserve">Expansion New Partner Pipeline</t>
  </si>
  <si>
    <t xml:space="preserve">New Partners Signed</t>
  </si>
  <si>
    <t xml:space="preserve">Avg Zones per Partner</t>
  </si>
  <si>
    <t xml:space="preserve">New Zones This Quarter</t>
  </si>
  <si>
    <t xml:space="preserve">Cumulative New Zones</t>
  </si>
  <si>
    <t xml:space="preserve">Go-Live Zones This Quarter</t>
  </si>
  <si>
    <t xml:space="preserve">Cumulative Go-Live Zones</t>
  </si>
  <si>
    <t xml:space="preserve">Anchor Revenue</t>
  </si>
  <si>
    <t xml:space="preserve">Cumulative Zones Live (helper)</t>
  </si>
  <si>
    <t xml:space="preserve">Implementation Revenue</t>
  </si>
  <si>
    <t xml:space="preserve">Total Implementation</t>
  </si>
  <si>
    <t xml:space="preserve">NON-GAAP IMPL + CONSULTING FEE</t>
  </si>
  <si>
    <t xml:space="preserve">Total Non-GAAP Impl + Consulting</t>
  </si>
  <si>
    <t xml:space="preserve">NON-GAAP SUBSCRIPTION REVENUE</t>
  </si>
  <si>
    <t xml:space="preserve">Total Non-GAAP Subscription</t>
  </si>
  <si>
    <t xml:space="preserve">Zone Licensing Fee</t>
  </si>
  <si>
    <t xml:space="preserve">Total Licensing</t>
  </si>
  <si>
    <t xml:space="preserve">Operations Revenue</t>
  </si>
  <si>
    <t xml:space="preserve">  Autonomous Picking</t>
  </si>
  <si>
    <t xml:space="preserve">    Partner 1 Atlas</t>
  </si>
  <si>
    <t xml:space="preserve">    Partner 2 Titan</t>
  </si>
  <si>
    <t xml:space="preserve">    Partner 3 Apex</t>
  </si>
  <si>
    <t xml:space="preserve">    Partner 4 Vanguard</t>
  </si>
  <si>
    <t xml:space="preserve">    Partner 5 Nimble</t>
  </si>
  <si>
    <t xml:space="preserve">  Subtotal Autonomous Picking</t>
  </si>
  <si>
    <t xml:space="preserve">  Pallet Sorting</t>
  </si>
  <si>
    <t xml:space="preserve">  Subtotal Pallet Sorting</t>
  </si>
  <si>
    <t xml:space="preserve">  Inventory Scanning</t>
  </si>
  <si>
    <t xml:space="preserve">  Subtotal Inventory Scanning</t>
  </si>
  <si>
    <t xml:space="preserve">  Zone Transfer</t>
  </si>
  <si>
    <t xml:space="preserve">  Subtotal Zone Transfer</t>
  </si>
  <si>
    <t xml:space="preserve">  Mixed-Case Depalletizing</t>
  </si>
  <si>
    <t xml:space="preserve">  Subtotal Mixed-Case Depalletizing</t>
  </si>
  <si>
    <t xml:space="preserve">Total Operations Revenue</t>
  </si>
  <si>
    <t xml:space="preserve">Predictive Maintenance Revenue</t>
  </si>
  <si>
    <t xml:space="preserve">Total Maintenance Revenue</t>
  </si>
  <si>
    <t xml:space="preserve">VISION QUALITY INSPECTION REVENUE</t>
  </si>
  <si>
    <t xml:space="preserve">Total Inspection Revenue</t>
  </si>
  <si>
    <t xml:space="preserve">Summary</t>
  </si>
  <si>
    <t xml:space="preserve">  Implementation Revenue</t>
  </si>
  <si>
    <t xml:space="preserve">  Non-GAAP Impl + Consulting</t>
  </si>
  <si>
    <t xml:space="preserve">  Non-GAAP Subscription Revenue</t>
  </si>
  <si>
    <t xml:space="preserve">  Zone Licensing Fee</t>
  </si>
  <si>
    <t xml:space="preserve">  Operations Revenue</t>
  </si>
  <si>
    <t xml:space="preserve">  Predictive Maintenance</t>
  </si>
  <si>
    <t xml:space="preserve">  Vision Quality Inspection</t>
  </si>
  <si>
    <t xml:space="preserve">Total Anchor Revenue</t>
  </si>
  <si>
    <t xml:space="preserve">Total Anchor incl. Non-GAAP</t>
  </si>
  <si>
    <t xml:space="preserve">Annual Summary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</si>
  <si>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</si>
  <si>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</si>
  <si>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</si>
  <si>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</si>
  <si>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</si>
  <si>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  Implementation</t>
  </si>
  <si>
    <t xml:space="preserve">  Non-GAAP Subscription</t>
  </si>
  <si>
    <t xml:space="preserve">  Licensing</t>
  </si>
  <si>
    <t xml:space="preserve">  Operations</t>
  </si>
  <si>
    <t xml:space="preserve">  Maintenance</t>
  </si>
  <si>
    <t xml:space="preserve">  Inspection</t>
  </si>
  <si>
    <t xml:space="preserve">Total Annual Revenue</t>
  </si>
  <si>
    <t xml:space="preserve">Total incl. Non-GAAP</t>
  </si>
  <si>
    <t xml:space="preserve">Cumulative Revenue</t>
  </si>
  <si>
    <t xml:space="preserve">Expansion Pipeline Revenue</t>
  </si>
  <si>
    <t xml:space="preserve">New Partner Deployment</t>
  </si>
  <si>
    <t xml:space="preserve">New Zones Signed</t>
  </si>
  <si>
    <t xml:space="preserve">Go-Live Zones (new this quarter)</t>
  </si>
  <si>
    <t xml:space="preserve">Cumulative Signed Zones</t>
  </si>
  <si>
    <t xml:space="preserve">Consulting + Implementation Fees</t>
  </si>
  <si>
    <t xml:space="preserve">One-time Revenue at Signing</t>
  </si>
  <si>
    <t xml:space="preserve">Annual Subscription</t>
  </si>
  <si>
    <t xml:space="preserve">Subscription Revenue</t>
  </si>
  <si>
    <t xml:space="preserve">Utilization Revenue</t>
  </si>
  <si>
    <t xml:space="preserve">Per-Zone Quarterly Operations Rev (maturity)</t>
  </si>
  <si>
    <t xml:space="preserve">Per-Zone Quarterly Maintenance Rev (maturity)</t>
  </si>
  <si>
    <t xml:space="preserve">Per-Zone Quarterly Inspection Rev (maturity)</t>
  </si>
  <si>
    <t xml:space="preserve">  Maintenance Revenue</t>
  </si>
  <si>
    <t xml:space="preserve">  Inspection Revenue</t>
  </si>
  <si>
    <t xml:space="preserve">Total Utilization</t>
  </si>
  <si>
    <t xml:space="preserve">  Consulting + Implementation</t>
  </si>
  <si>
    <t xml:space="preserve">  Annual Subscription</t>
  </si>
  <si>
    <t xml:space="preserve">  Utilization Revenue</t>
  </si>
  <si>
    <t xml:space="preserve">Total Expansion Revenue</t>
  </si>
  <si>
    <t xml:space="preserve">Total Expansion Annual</t>
  </si>
  <si>
    <t xml:space="preserve">Revenue Summary</t>
  </si>
  <si>
    <t xml:space="preserve">Annual Revenue</t>
  </si>
  <si>
    <t xml:space="preserve">  Anchor Revenue</t>
  </si>
  <si>
    <t xml:space="preserve">  Non-GAAP Revenue</t>
  </si>
  <si>
    <t xml:space="preserve">  Expansion Revenue</t>
  </si>
  <si>
    <t xml:space="preserve">Total Anchor - incl. Non-GAAP</t>
  </si>
  <si>
    <t xml:space="preserve">Total Revenue</t>
  </si>
  <si>
    <t xml:space="preserve">Total Revenue incl. Non-GAAP</t>
  </si>
  <si>
    <t xml:space="preserve">Zone Deployment Timeline</t>
  </si>
  <si>
    <t xml:space="preserve">  Anchor Zones (cumulative)</t>
  </si>
  <si>
    <t xml:space="preserve">  Expansion Zones (cumulative go-live)</t>
  </si>
  <si>
    <t xml:space="preserve">Total Deployed Zones</t>
  </si>
  <si>
    <t xml:space="preserve">Revenue per Deployed Zone</t>
  </si>
  <si>
    <t xml:space="preserve">Anchor Revenue Breakdown</t>
  </si>
  <si>
    <t xml:space="preserve">EXPANSION BREAKDOWN</t>
  </si>
  <si>
    <t xml:space="preserve">  Subscription</t>
  </si>
  <si>
    <t xml:space="preserve">  Utilization</t>
  </si>
  <si>
    <t xml:space="preserve">Cost Forecast</t>
  </si>
  <si>
    <t xml:space="preserve">Anchor Site Costs</t>
  </si>
  <si>
    <t xml:space="preserve">  Non-Recurring Costs</t>
  </si>
  <si>
    <t xml:space="preserve">  Total Anchor NRC</t>
  </si>
  <si>
    <t xml:space="preserve">  Recurring Costs</t>
  </si>
  <si>
    <t xml:space="preserve">  Total Anchor Recurring</t>
  </si>
  <si>
    <t xml:space="preserve">Total Anchor Costs</t>
  </si>
  <si>
    <t xml:space="preserve">EXPANSION SITE COSTS</t>
  </si>
  <si>
    <t xml:space="preserve">    NRC at Go-Live</t>
  </si>
  <si>
    <t xml:space="preserve">  Total Expansion NRC</t>
  </si>
  <si>
    <t xml:space="preserve">    Recurring from Go-Live Zones</t>
  </si>
  <si>
    <t xml:space="preserve">  Total Expansion Recurring</t>
  </si>
  <si>
    <t xml:space="preserve">Total Expansion Costs</t>
  </si>
  <si>
    <t xml:space="preserve">Total Costs</t>
  </si>
  <si>
    <t xml:space="preserve">  Total NRC</t>
  </si>
  <si>
    <t xml:space="preserve">  Total Recurring</t>
  </si>
  <si>
    <t xml:space="preserve">Total Cost</t>
  </si>
  <si>
    <t xml:space="preserve">  Anchor NRC</t>
  </si>
  <si>
    <t xml:space="preserve">  Anchor Recurring</t>
  </si>
  <si>
    <t xml:space="preserve">  Expansion NRC</t>
  </si>
  <si>
    <t xml:space="preserve">  Expansion Recurring</t>
  </si>
  <si>
    <t xml:space="preserve">Total Annual Cost</t>
  </si>
  <si>
    <t xml:space="preserve">Cumulative Cost</t>
  </si>
  <si>
    <t xml:space="preserve">P&amp;L Summary</t>
  </si>
  <si>
    <t xml:space="preserve">Revenue</t>
  </si>
  <si>
    <t xml:space="preserve">Total Revenue (GAAP)</t>
  </si>
  <si>
    <t xml:space="preserve">Cost of Goods Sold</t>
  </si>
  <si>
    <t xml:space="preserve">  Anchor Recurring Costs</t>
  </si>
  <si>
    <t xml:space="preserve">  Expansion Recurring Costs</t>
  </si>
  <si>
    <t xml:space="preserve">Total COGS</t>
  </si>
  <si>
    <t xml:space="preserve">Gross Profit</t>
  </si>
  <si>
    <t xml:space="preserve">Gross Profit (GAAP)</t>
  </si>
  <si>
    <t xml:space="preserve">  Gross Margin %</t>
  </si>
  <si>
    <t xml:space="preserve">Depreciation (CapEx Amortization)</t>
  </si>
  <si>
    <t xml:space="preserve">  Anchor NRC Amortization</t>
  </si>
  <si>
    <t xml:space="preserve">  Expansion NRC Amortization</t>
  </si>
  <si>
    <t xml:space="preserve">Total Depreciation</t>
  </si>
  <si>
    <t xml:space="preserve">Operating Expenses</t>
  </si>
  <si>
    <t xml:space="preserve">  G&amp;A OpEx</t>
  </si>
  <si>
    <t xml:space="preserve">  R&amp;D OpEx</t>
  </si>
  <si>
    <t xml:space="preserve">Total OpEx</t>
  </si>
  <si>
    <t xml:space="preserve">EBITDA</t>
  </si>
  <si>
    <t xml:space="preserve">EBITDA (GAAP)</t>
  </si>
  <si>
    <t xml:space="preserve">  EBITDA Margin %</t>
  </si>
  <si>
    <t xml:space="preserve">Cumulative</t>
  </si>
  <si>
    <t xml:space="preserve">Cumulative COGS</t>
  </si>
  <si>
    <t xml:space="preserve">Cumulative EBITDA</t>
  </si>
  <si>
    <t xml:space="preserve">Valuation — Anchor (Non-GAAP Basis)</t>
  </si>
  <si>
    <t xml:space="preserve">Key Assumptions</t>
  </si>
  <si>
    <t xml:space="preserve">Discount Rate</t>
  </si>
  <si>
    <t xml:space="preserve">Terminal Revenue Multiple</t>
  </si>
  <si>
    <t xml:space="preserve">Total Anchor Revenue (Non-GAAP)</t>
  </si>
  <si>
    <t xml:space="preserve">  YoY Growth</t>
  </si>
  <si>
    <t xml:space="preserve">DCF Analysis</t>
  </si>
  <si>
    <t xml:space="preserve">Year Number</t>
  </si>
  <si>
    <t xml:space="preserve">Discount Factor</t>
  </si>
  <si>
    <t xml:space="preserve">PV of Revenue</t>
  </si>
  <si>
    <t xml:space="preserve">Terminal Value (Year 5)</t>
  </si>
  <si>
    <t xml:space="preserve">PV of Terminal Value</t>
  </si>
  <si>
    <t xml:space="preserve">Valuation Summary</t>
  </si>
  <si>
    <t xml:space="preserve">Sum of Discounted Revenue</t>
  </si>
  <si>
    <t xml:space="preserve">Enterprise Value (Revenue)</t>
  </si>
  <si>
    <t xml:space="preserve">EBITDA-BASED VALUATION</t>
  </si>
  <si>
    <t xml:space="preserve">Cost &amp; Margin Analysis</t>
  </si>
  <si>
    <t xml:space="preserve">  Total Revenue</t>
  </si>
  <si>
    <t xml:space="preserve">  COGS (Anchor Recurring)</t>
  </si>
  <si>
    <t xml:space="preserve">  Depreciation (NRC Amort.)</t>
  </si>
  <si>
    <t xml:space="preserve">EBITDA-BASED DCF</t>
  </si>
  <si>
    <t xml:space="preserve">PV of EBITDA</t>
  </si>
  <si>
    <t xml:space="preserve">Terminal Value (Year 5 EBITDA)</t>
  </si>
  <si>
    <t xml:space="preserve">EBITDA Valuation Summary</t>
  </si>
  <si>
    <t xml:space="preserve">Sum of Discounted EBITDA</t>
  </si>
  <si>
    <t xml:space="preserve">Enterprise Value (EBITDA)</t>
  </si>
  <si>
    <t xml:space="preserve">Comparison</t>
  </si>
  <si>
    <t xml:space="preserve">  Revenue-Based EV</t>
  </si>
  <si>
    <t xml:space="preserve">  EBITDA-Based EV</t>
  </si>
  <si>
    <t xml:space="preserve">Valuation — Total Company</t>
  </si>
  <si>
    <t xml:space="preserve">  Anchor Revenue (GAAP)</t>
  </si>
  <si>
    <t xml:space="preserve">  COGS (All Recurring)</t>
  </si>
  <si>
    <t xml:space="preserve">Sources &amp; References</t>
  </si>
  <si>
    <t xml:space="preserve">Use Case Assumptions</t>
  </si>
  <si>
    <t xml:space="preserve">Warehouse robotics cycle time benchmarks; Locus Robotics case studies</t>
  </si>
  <si>
    <t xml:space="preserve">MHIA warehouse throughput studies; Berkshire Grey white paper</t>
  </si>
  <si>
    <t xml:space="preserve">Automated sortation/inline system benchmarks</t>
  </si>
  <si>
    <t xml:space="preserve">WERC warehouse operations survey; DHL/Amazon case studies</t>
  </si>
  <si>
    <t xml:space="preserve">Systematic review robotic governance; industry training standards; Apex Fulfillment</t>
  </si>
  <si>
    <t xml:space="preserve">robotic transfer time benchmarks</t>
  </si>
  <si>
    <t xml:space="preserve">logistics industry cost-effectiveness; pilot program data; logistics analyst reports</t>
  </si>
  <si>
    <t xml:space="preserve">Multi-specialty robotic case duration benchmarks</t>
  </si>
  <si>
    <t xml:space="preserve">Atlas Logistics; Titan Distribution; Atlas Logistics; Fetch Robotics</t>
  </si>
  <si>
    <t xml:space="preserve">Arctura pricing framework; robotic operations economics analysis</t>
  </si>
  <si>
    <t xml:space="preserve">Maintenance — $/robot/month</t>
  </si>
  <si>
    <t xml:space="preserve">Arctura pricing; predictive maintenance industry benchmarks</t>
  </si>
  <si>
    <t xml:space="preserve">Inspection — $/scan</t>
  </si>
  <si>
    <t xml:space="preserve">Anchor Config</t>
  </si>
  <si>
    <t xml:space="preserve">Zone Count (Atlas)</t>
  </si>
  <si>
    <t xml:space="preserve">Atlas Logistics operational footprint; warehouse layout analysis</t>
  </si>
  <si>
    <t xml:space="preserve">Arctura cost model (site_cost_summary.xlsx)</t>
  </si>
  <si>
    <t xml:space="preserve">Payment Terms (50/30/20)</t>
  </si>
  <si>
    <t xml:space="preserve">Implementation Timeline</t>
  </si>
  <si>
    <t xml:space="preserve">Expansion Pricing</t>
  </si>
  <si>
    <t xml:space="preserve">Ramp &amp; Decay</t>
  </si>
  <si>
    <t xml:space="preserve">Hockey Stick Ramp (Q1–Q8)</t>
  </si>
  <si>
    <t xml:space="preserve">Healthcare technology adoption curves; enterprise SaaS benchmarks</t>
  </si>
  <si>
    <t xml:space="preserve">Maintenance &amp; Inspection</t>
  </si>
  <si>
    <t xml:space="preserve">Atlas Logistics warehouse operations paper; warehouse robotics density analysis</t>
  </si>
  <si>
    <t xml:space="preserve">Atlas Logistics quality inspection; industry benchmarks; OSHA warehouse guidelines</t>
  </si>
  <si>
    <t xml:space="preserve">Site Costs</t>
  </si>
  <si>
    <t xml:space="preserve">Non-Recurring Cost (per site)</t>
  </si>
  <si>
    <t xml:space="preserve">Arctura site cost summary (site_cost_summary.xlsx)</t>
  </si>
  <si>
    <t xml:space="preserve">Monthly Recurring Cost</t>
  </si>
  <si>
    <t xml:space="preserve">Additional Zone Discount (25%)</t>
  </si>
  <si>
    <t xml:space="preserve">Internal analysis</t>
  </si>
  <si>
    <t xml:space="preserve">Atlas Logistics Baselines</t>
  </si>
  <si>
    <t xml:space="preserve">Annual Shipments (180K/yr)</t>
  </si>
  <si>
    <t xml:space="preserve">Atlas Logistics public operations data</t>
  </si>
  <si>
    <t xml:space="preserve">Warehouse Throughput (50K units/day)</t>
  </si>
  <si>
    <t xml:space="preserve">Atlas Logistics operations dashboard</t>
  </si>
  <si>
    <t xml:space="preserve">Annual Picks (&gt;15M/yr)</t>
  </si>
  <si>
    <t xml:space="preserve">Atlas Logistics fulfillment metrics</t>
  </si>
  <si>
    <t xml:space="preserve">Current Robot Fleet (120)</t>
  </si>
  <si>
    <t xml:space="preserve">Atlas Logistics automation program summary</t>
  </si>
  <si>
    <t xml:space="preserve">QC Inspections (~400K/yr)</t>
  </si>
  <si>
    <t xml:space="preserve">Atlas Logistics quality program data</t>
  </si>
  <si>
    <t xml:space="preserve">Warehouse Sq Footage (2.5M)</t>
  </si>
  <si>
    <t xml:space="preserve">Atlas Logistics facility overview</t>
  </si>
  <si>
    <t xml:space="preserve">Sensitivity Analysis</t>
  </si>
  <si>
    <t xml:space="preserve">Tier 1 — Highest Impact  (&gt;$20M EV swing per ±20% change)</t>
  </si>
  <si>
    <t xml:space="preserve">Input</t>
  </si>
  <si>
    <t xml:space="preserve">Default</t>
  </si>
  <si>
    <t xml:space="preserve">Primary Mechanism</t>
  </si>
  <si>
    <t xml:space="preserve">EV</t>
  </si>
  <si>
    <t xml:space="preserve">  Expansion New Partners Signed</t>
  </si>
  <si>
    <t xml:space="preserve">43 total</t>
  </si>
  <si>
    <t xml:space="preserve">Scales all expansion revenue</t>
  </si>
  <si>
    <t xml:space="preserve">●●●</t>
  </si>
  <si>
    <t xml:space="preserve">  Avg Zones per Partner (Expansion)</t>
  </si>
  <si>
    <t xml:space="preserve">Multiplier on all expansion zone-driven revenue</t>
  </si>
  <si>
    <t xml:space="preserve">  Tier 1 $/minute</t>
  </si>
  <si>
    <t xml:space="preserve">$3.50</t>
  </si>
  <si>
    <t xml:space="preserve">Prices 4 of 5 operation types (largest revenue stream)</t>
  </si>
  <si>
    <t xml:space="preserve">  Terminal Revenue Multiple</t>
  </si>
  <si>
    <t xml:space="preserve">10x</t>
  </si>
  <si>
    <t xml:space="preserve">Direct multiplier on terminal value (~80% of revenue EV)</t>
  </si>
  <si>
    <t xml:space="preserve">  EBITDA Terminal Multiple</t>
  </si>
  <si>
    <t xml:space="preserve">12x</t>
  </si>
  <si>
    <t xml:space="preserve">Direct multiplier on EBITDA terminal value</t>
  </si>
  <si>
    <t xml:space="preserve">  Discount Rate</t>
  </si>
  <si>
    <t xml:space="preserve">Exponential effect on all PV calculations</t>
  </si>
  <si>
    <t xml:space="preserve">  Expansion Annual Subscription</t>
  </si>
  <si>
    <t xml:space="preserve">$95k/zone/yr</t>
  </si>
  <si>
    <t xml:space="preserve">Recurring revenue on cumulative zone-years</t>
  </si>
  <si>
    <t xml:space="preserve">Tier 2 — High Impact  ($5–20M EV swing per ±20% change)</t>
  </si>
  <si>
    <t xml:space="preserve">  Hockey Stick Ramp (Q1-Q8)</t>
  </si>
  <si>
    <t xml:space="preserve">12%→100%</t>
  </si>
  <si>
    <t xml:space="preserve">Multiplier on all utilization revenue timing</t>
  </si>
  <si>
    <t xml:space="preserve">  Use Case: Ops/Wk (all 5)</t>
  </si>
  <si>
    <t xml:space="preserve">5-24/wk</t>
  </si>
  <si>
    <t xml:space="preserve">Volume driver for operations revenue</t>
  </si>
  <si>
    <t xml:space="preserve">  Use Case: Avg Minutes (all 5)</t>
  </si>
  <si>
    <t xml:space="preserve">15-90 min</t>
  </si>
  <si>
    <t xml:space="preserve">Duration × price driver for operations</t>
  </si>
  <si>
    <t xml:space="preserve">  Maintenance $/robot/month</t>
  </si>
  <si>
    <t xml:space="preserve">$40</t>
  </si>
  <si>
    <t xml:space="preserve">Prices maintenance stream</t>
  </si>
  <si>
    <t xml:space="preserve">●●</t>
  </si>
  <si>
    <t xml:space="preserve">  Robots per Zone</t>
  </si>
  <si>
    <t xml:space="preserve">Volume driver for maintenance revenue</t>
  </si>
  <si>
    <t xml:space="preserve">  R&amp;D OpEx %</t>
  </si>
  <si>
    <t xml:space="preserve">18%</t>
  </si>
  <si>
    <t xml:space="preserve">Largest OpEx line item</t>
  </si>
  <si>
    <t xml:space="preserve">  G&amp;A OpEx %</t>
  </si>
  <si>
    <t xml:space="preserve">Second OpEx line item</t>
  </si>
  <si>
    <t xml:space="preserve">  Per-Zone Implementation MSRP</t>
  </si>
  <si>
    <t xml:space="preserve">$350k</t>
  </si>
  <si>
    <t xml:space="preserve">Drives anchor implementation revenue</t>
  </si>
  <si>
    <t xml:space="preserve">  Per-Zone Annual License</t>
  </si>
  <si>
    <t xml:space="preserve">$85k</t>
  </si>
  <si>
    <t xml:space="preserve">Drives anchor licensing + Non-GAAP subscription</t>
  </si>
  <si>
    <t xml:space="preserve">  Zone Counts (Anchor, 5 partners)</t>
  </si>
  <si>
    <t xml:space="preserve">6,4,5,3,2</t>
  </si>
  <si>
    <t xml:space="preserve">Scales all anchor per-zone revenue</t>
  </si>
  <si>
    <t xml:space="preserve">  Expansion Impl Timeline</t>
  </si>
  <si>
    <t xml:space="preserve">Delays go-live → delays utilization revenue</t>
  </si>
  <si>
    <t xml:space="preserve">Tier 3 — Moderate Impact  ($1–5M EV swing per ±20% change)</t>
  </si>
  <si>
    <t xml:space="preserve">  Site Volume Decay (Zone 1-6)</t>
  </si>
  <si>
    <t xml:space="preserve">100%→65%</t>
  </si>
  <si>
    <t xml:space="preserve">Reduces per-zone operations volumes</t>
  </si>
  <si>
    <t xml:space="preserve">  Inspection $/scan</t>
  </si>
  <si>
    <t xml:space="preserve">$12</t>
  </si>
  <si>
    <t xml:space="preserve">Prices inspection stream</t>
  </si>
  <si>
    <t xml:space="preserve">●</t>
  </si>
  <si>
    <t xml:space="preserve">  Scans/Zone/Month</t>
  </si>
  <si>
    <t xml:space="preserve">Volume driver for inspection</t>
  </si>
  <si>
    <t xml:space="preserve">  Tier 2 $/minute</t>
  </si>
  <si>
    <t xml:space="preserve">$0.75</t>
  </si>
  <si>
    <t xml:space="preserve">Prices Pallet Sorting only (1 of 5 cases)</t>
  </si>
  <si>
    <t xml:space="preserve">  Expansion Consulting Fee</t>
  </si>
  <si>
    <t xml:space="preserve">$75k/partner</t>
  </si>
  <si>
    <t xml:space="preserve">One-time fee per new partner</t>
  </si>
  <si>
    <t xml:space="preserve">  Expansion Impl Fee/Zone</t>
  </si>
  <si>
    <t xml:space="preserve">$30k</t>
  </si>
  <si>
    <t xml:space="preserve">One-time fee per new zone</t>
  </si>
  <si>
    <t xml:space="preserve">  NRC First Zone</t>
  </si>
  <si>
    <t xml:space="preserve">$62,000</t>
  </si>
  <si>
    <t xml:space="preserve">CapEx → depreciation; also COGS timing</t>
  </si>
  <si>
    <t xml:space="preserve">  Monthly Recurring Cost</t>
  </si>
  <si>
    <t xml:space="preserve">$18,000</t>
  </si>
  <si>
    <t xml:space="preserve">COGS driver (recurring per zone)</t>
  </si>
  <si>
    <t xml:space="preserve">  CapEx Amortization Period</t>
  </si>
  <si>
    <t xml:space="preserve">5 years</t>
  </si>
  <si>
    <t xml:space="preserve">Spreads NRC across years</t>
  </si>
  <si>
    <t xml:space="preserve">  Maintenance Ramp Start</t>
  </si>
  <si>
    <t xml:space="preserve">Starting utilization for maintenance</t>
  </si>
  <si>
    <t xml:space="preserve">  Maintenance Ramp Quarters</t>
  </si>
  <si>
    <t xml:space="preserve">Time to full maintenance utilization</t>
  </si>
  <si>
    <t xml:space="preserve">  Qtrs After Go-Live (per case)</t>
  </si>
  <si>
    <t xml:space="preserve">0-5</t>
  </si>
  <si>
    <t xml:space="preserve">Delays when each operation type starts</t>
  </si>
  <si>
    <t xml:space="preserve">Tier 4 — Low Impact  (&lt;$1M EV swing per ±20% change)</t>
  </si>
  <si>
    <t xml:space="preserve">  Zone Go-Live Ramp (grid)</t>
  </si>
  <si>
    <t xml:space="preserve">per-partner</t>
  </si>
  <si>
    <t xml:space="preserve">Shifts when zones activate within partner</t>
  </si>
  <si>
    <t xml:space="preserve">  Planning Start Quarter (per partner)</t>
  </si>
  <si>
    <t xml:space="preserve">Q2'27-Q2'28</t>
  </si>
  <si>
    <t xml:space="preserve">Shifts implementation payment timing</t>
  </si>
  <si>
    <t xml:space="preserve">  Go-Live Quarter (per partner)</t>
  </si>
  <si>
    <t xml:space="preserve">Q4'27-Q4'28</t>
  </si>
  <si>
    <t xml:space="preserve">Shifts utilization revenue start</t>
  </si>
  <si>
    <t xml:space="preserve">  License Activation Qtr (per partner)</t>
  </si>
  <si>
    <t xml:space="preserve">Q2'29-Q4'29</t>
  </si>
  <si>
    <t xml:space="preserve">Shifts GAAP vs Non-GAAP cutover</t>
  </si>
  <si>
    <t xml:space="preserve">  Payment Terms (40/35/25)</t>
  </si>
  <si>
    <t xml:space="preserve">40%/35%/25%</t>
  </si>
  <si>
    <t xml:space="preserve">Redistributes implementation payments</t>
  </si>
  <si>
    <t xml:space="preserve">  Additional Zone Discount</t>
  </si>
  <si>
    <t xml:space="preserve">Affects blended cost per zone</t>
  </si>
  <si>
    <t xml:space="preserve">Impact estimated as ±20% change to input → effect on 5-year output</t>
  </si>
  <si>
    <t xml:space="preserve">Revenue = cumulative 5-year GAAP revenue</t>
  </si>
  <si>
    <t xml:space="preserve">EBITDA = Year 5 annual EBITDA</t>
  </si>
  <si>
    <t xml:space="preserve">EV = EBITDA-based Enterprise Value (Total Company)</t>
  </si>
  <si>
    <t xml:space="preserve">●●● = major impact   ●● = moderate impact   ● = minor impact   — = no direct impact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</si>
</sst>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;&quot;($&quot;#,##0\);\-"/>
    <numFmt numFmtId="167" formatCode="0.0%"/>
    <numFmt numFmtId="168" formatCode="\$#,##0.00"/>
    <numFmt numFmtId="169" formatCode="0.0"/>
    <numFmt numFmtId="170" formatCode="0.0\x"/>
    <numFmt numFmtId="171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8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9E2A1"/>
        <bgColor rgb="FFFFFF9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6633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E2A1"/>
      <rgbColor rgb="FF3366FF"/>
      <rgbColor rgb="FF33CCCC"/>
      <rgbColor rgb="FF99CC00"/>
      <rgbColor rgb="FFFFCC00"/>
      <rgbColor rgb="FFFF8C00"/>
      <rgbColor rgb="FFFF6600"/>
      <rgbColor rgb="FF336699"/>
      <rgbColor rgb="FF969696"/>
      <rgbColor rgb="FF003366"/>
      <rgbColor rgb="FF339966"/>
      <rgbColor rgb="FF0066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4:V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22" min="7" style="0" width="14"/>
  </cols>
  <sheetData>
    <row r="4" customFormat="false" ht="15" hidden="false" customHeight="false" outlineLevel="0" collapsed="false">
      <c r="B4" s="1" t="s">
        <v>0</v>
      </c>
    </row>
    <row r="5" customFormat="false" ht="15" hidden="false" customHeight="false" outlineLevel="0" collapsed="false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</row>
    <row r="6" customFormat="false" ht="15" hidden="false" customHeight="false" outlineLevel="0" collapsed="false"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</row>
    <row r="8" customFormat="false" ht="15" hidden="false" customHeight="false" outlineLevel="0" collapsed="false">
      <c r="B8" s="1" t="s">
        <v>21</v>
      </c>
    </row>
    <row r="9" customFormat="false" ht="15" hidden="false" customHeight="false" outlineLevel="0" collapsed="false"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</row>
    <row r="10" customFormat="false" ht="15" hidden="false" customHeight="false" outlineLevel="0" collapsed="false">
      <c r="B10" s="0" t="s">
        <v>27</v>
      </c>
      <c r="C10" s="4" t="n">
        <v>6</v>
      </c>
      <c r="D10" s="4" t="n">
        <v>4</v>
      </c>
      <c r="E10" s="4" t="n">
        <v>5</v>
      </c>
      <c r="F10" s="4" t="n">
        <v>3</v>
      </c>
      <c r="G10" s="4" t="n">
        <v>2</v>
      </c>
    </row>
    <row r="11" customFormat="false" ht="15" hidden="false" customHeight="false" outlineLevel="0" collapsed="false">
      <c r="B11" s="0" t="s">
        <v>28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</row>
    <row r="12" customFormat="false" ht="15" hidden="false" customHeight="false" outlineLevel="0" collapsed="false">
      <c r="B12" s="0" t="s">
        <v>29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</row>
    <row r="13" customFormat="false" ht="15" hidden="false" customHeight="false" outlineLevel="0" collapsed="false">
      <c r="B13" s="0" t="s">
        <v>30</v>
      </c>
      <c r="C13" s="5" t="s">
        <v>10</v>
      </c>
      <c r="D13" s="5" t="s">
        <v>9</v>
      </c>
      <c r="E13" s="5" t="s">
        <v>10</v>
      </c>
      <c r="F13" s="5" t="s">
        <v>11</v>
      </c>
      <c r="G13" s="5" t="s">
        <v>12</v>
      </c>
    </row>
    <row r="14" customFormat="false" ht="15" hidden="false" customHeight="false" outlineLevel="0" collapsed="false">
      <c r="B14" s="0" t="s">
        <v>31</v>
      </c>
      <c r="C14" s="6" t="n">
        <f aca="false">C10*$C$17</f>
        <v>2100000</v>
      </c>
      <c r="D14" s="6" t="n">
        <f aca="false">D10*$C$17</f>
        <v>1400000</v>
      </c>
      <c r="E14" s="6" t="n">
        <f aca="false">E10*$C$17</f>
        <v>1750000</v>
      </c>
      <c r="F14" s="6" t="n">
        <f aca="false">F10*$C$17</f>
        <v>1050000</v>
      </c>
      <c r="G14" s="6" t="n">
        <f aca="false">G10*$C$17</f>
        <v>700000</v>
      </c>
    </row>
    <row r="15" customFormat="false" ht="15" hidden="false" customHeight="false" outlineLevel="0" collapsed="false">
      <c r="B15" s="0" t="s">
        <v>32</v>
      </c>
      <c r="C15" s="6" t="n">
        <f aca="false">C10*$C$18</f>
        <v>510000</v>
      </c>
      <c r="D15" s="6" t="n">
        <f aca="false">D10*$C$18</f>
        <v>340000</v>
      </c>
      <c r="E15" s="6" t="n">
        <f aca="false">E10*$C$18</f>
        <v>425000</v>
      </c>
      <c r="F15" s="6" t="n">
        <f aca="false">F10*$C$18</f>
        <v>255000</v>
      </c>
      <c r="G15" s="6" t="n">
        <f aca="false">G10*$C$18</f>
        <v>170000</v>
      </c>
    </row>
    <row r="17" customFormat="false" ht="15" hidden="false" customHeight="false" outlineLevel="0" collapsed="false">
      <c r="B17" s="0" t="s">
        <v>33</v>
      </c>
      <c r="C17" s="7" t="n">
        <v>350000</v>
      </c>
    </row>
    <row r="18" customFormat="false" ht="15" hidden="false" customHeight="false" outlineLevel="0" collapsed="false">
      <c r="B18" s="0" t="s">
        <v>34</v>
      </c>
      <c r="C18" s="7" t="n">
        <v>85000</v>
      </c>
    </row>
    <row r="19" customFormat="false" ht="15" hidden="false" customHeight="false" outlineLevel="0" collapsed="false">
      <c r="B19" s="0" t="s">
        <v>35</v>
      </c>
      <c r="C19" s="8" t="n">
        <f aca="false">C10+D10+E10+F10+G10</f>
        <v>20</v>
      </c>
    </row>
    <row r="20" customFormat="false" ht="15" hidden="false" customHeight="false" outlineLevel="0" collapsed="false">
      <c r="B20" s="0" t="s">
        <v>36</v>
      </c>
      <c r="C20" s="6" t="n">
        <f aca="false">C14+D14+E14+F14+G14</f>
        <v>7000000</v>
      </c>
    </row>
    <row r="21" customFormat="false" ht="15" hidden="false" customHeight="false" outlineLevel="0" collapsed="false">
      <c r="B21" s="0" t="s">
        <v>37</v>
      </c>
      <c r="C21" s="6" t="n">
        <f aca="false">C15+D15+E15+F15+G15</f>
        <v>1700000</v>
      </c>
    </row>
    <row r="23" customFormat="false" ht="15" hidden="false" customHeight="false" outlineLevel="0" collapsed="false">
      <c r="B23" s="0" t="s">
        <v>38</v>
      </c>
      <c r="C23" s="5" t="s">
        <v>39</v>
      </c>
    </row>
    <row r="24" customFormat="false" ht="15" hidden="false" customHeight="false" outlineLevel="0" collapsed="false">
      <c r="B24" s="0" t="s">
        <v>40</v>
      </c>
      <c r="C24" s="9" t="n">
        <v>0.4</v>
      </c>
    </row>
    <row r="25" customFormat="false" ht="15" hidden="false" customHeight="false" outlineLevel="0" collapsed="false">
      <c r="B25" s="0" t="s">
        <v>41</v>
      </c>
      <c r="C25" s="9" t="n">
        <v>0.35</v>
      </c>
    </row>
    <row r="26" customFormat="false" ht="15" hidden="false" customHeight="false" outlineLevel="0" collapsed="false">
      <c r="B26" s="0" t="s">
        <v>42</v>
      </c>
      <c r="C26" s="9" t="n">
        <v>0.25</v>
      </c>
    </row>
    <row r="28" customFormat="false" ht="15" hidden="false" customHeight="false" outlineLevel="0" collapsed="false">
      <c r="B28" s="1" t="s">
        <v>43</v>
      </c>
    </row>
    <row r="29" customFormat="false" ht="15" hidden="false" customHeight="false" outlineLevel="0" collapsed="false"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 t="s">
        <v>7</v>
      </c>
      <c r="J29" s="2" t="s">
        <v>8</v>
      </c>
    </row>
    <row r="30" customFormat="false" ht="15" hidden="false" customHeight="false" outlineLevel="0" collapsed="false">
      <c r="B30" s="10" t="s">
        <v>44</v>
      </c>
      <c r="C30" s="4" t="n">
        <v>0</v>
      </c>
      <c r="D30" s="4" t="n">
        <v>0</v>
      </c>
      <c r="E30" s="4" t="n">
        <v>0</v>
      </c>
      <c r="F30" s="4" t="n">
        <v>3</v>
      </c>
      <c r="G30" s="4" t="n">
        <v>3</v>
      </c>
      <c r="H30" s="4" t="n">
        <v>0</v>
      </c>
      <c r="I30" s="4" t="n">
        <v>0</v>
      </c>
      <c r="J30" s="4" t="n">
        <v>0</v>
      </c>
    </row>
    <row r="31" customFormat="false" ht="15" hidden="false" customHeight="false" outlineLevel="0" collapsed="false">
      <c r="B31" s="10" t="s">
        <v>45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2</v>
      </c>
      <c r="H31" s="4" t="n">
        <v>2</v>
      </c>
      <c r="I31" s="4" t="n">
        <v>0</v>
      </c>
      <c r="J31" s="4" t="n">
        <v>0</v>
      </c>
    </row>
    <row r="32" customFormat="false" ht="15" hidden="false" customHeight="false" outlineLevel="0" collapsed="false">
      <c r="B32" s="10" t="s">
        <v>46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2</v>
      </c>
      <c r="I32" s="4" t="n">
        <v>3</v>
      </c>
      <c r="J32" s="4" t="n">
        <v>0</v>
      </c>
    </row>
    <row r="33" customFormat="false" ht="15" hidden="false" customHeight="false" outlineLevel="0" collapsed="false">
      <c r="B33" s="10" t="s">
        <v>47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</v>
      </c>
      <c r="J33" s="4" t="n">
        <v>1</v>
      </c>
    </row>
    <row r="34" customFormat="false" ht="15" hidden="false" customHeight="false" outlineLevel="0" collapsed="false">
      <c r="B34" s="10" t="s">
        <v>48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2</v>
      </c>
    </row>
    <row r="35" customFormat="false" ht="15" hidden="false" customHeight="false" outlineLevel="0" collapsed="false">
      <c r="B35" s="1" t="s">
        <v>49</v>
      </c>
      <c r="C35" s="11" t="n">
        <f aca="false">C30+C31+C32+C33+C34</f>
        <v>0</v>
      </c>
      <c r="D35" s="11" t="n">
        <f aca="false">D30+D31+D32+D33+D34</f>
        <v>0</v>
      </c>
      <c r="E35" s="11" t="n">
        <f aca="false">E30+E31+E32+E33+E34</f>
        <v>0</v>
      </c>
      <c r="F35" s="11" t="n">
        <f aca="false">F30+F31+F32+F33+F34</f>
        <v>3</v>
      </c>
      <c r="G35" s="11" t="n">
        <f aca="false">G30+G31+G32+G33+G34</f>
        <v>5</v>
      </c>
      <c r="H35" s="11" t="n">
        <f aca="false">H30+H31+H32+H33+H34</f>
        <v>4</v>
      </c>
      <c r="I35" s="11" t="n">
        <f aca="false">I30+I31+I32+I33+I34</f>
        <v>5</v>
      </c>
      <c r="J35" s="11" t="n">
        <f aca="false">J30+J31+J32+J33+J34</f>
        <v>3</v>
      </c>
    </row>
    <row r="36" customFormat="false" ht="15" hidden="false" customHeight="false" outlineLevel="0" collapsed="false">
      <c r="B36" s="1" t="s">
        <v>50</v>
      </c>
      <c r="C36" s="11" t="n">
        <f aca="false">C35</f>
        <v>0</v>
      </c>
      <c r="D36" s="11" t="n">
        <f aca="false">C36+D35</f>
        <v>0</v>
      </c>
      <c r="E36" s="11" t="n">
        <f aca="false">D36+E35</f>
        <v>0</v>
      </c>
      <c r="F36" s="11" t="n">
        <f aca="false">E36+F35</f>
        <v>3</v>
      </c>
      <c r="G36" s="11" t="n">
        <f aca="false">F36+G35</f>
        <v>8</v>
      </c>
      <c r="H36" s="11" t="n">
        <f aca="false">G36+H35</f>
        <v>12</v>
      </c>
      <c r="I36" s="11" t="n">
        <f aca="false">H36+I35</f>
        <v>17</v>
      </c>
      <c r="J36" s="11" t="n">
        <f aca="false">I36+J35</f>
        <v>20</v>
      </c>
    </row>
    <row r="38" customFormat="false" ht="15" hidden="false" customHeight="false" outlineLevel="0" collapsed="false">
      <c r="B38" s="12" t="s">
        <v>51</v>
      </c>
    </row>
    <row r="39" customFormat="false" ht="15" hidden="false" customHeight="false" outlineLevel="0" collapsed="false">
      <c r="B39" s="13" t="s">
        <v>52</v>
      </c>
      <c r="C39" s="14" t="n">
        <f aca="false">MATCH(C11,$C$5:$V$5,0)</f>
        <v>2</v>
      </c>
      <c r="D39" s="14" t="n">
        <f aca="false">MATCH(D11,$C$5:$V$5,0)</f>
        <v>3</v>
      </c>
      <c r="E39" s="14" t="n">
        <f aca="false">MATCH(E11,$C$5:$V$5,0)</f>
        <v>4</v>
      </c>
      <c r="F39" s="14" t="n">
        <f aca="false">MATCH(F11,$C$5:$V$5,0)</f>
        <v>5</v>
      </c>
      <c r="G39" s="14" t="n">
        <f aca="false">MATCH(G11,$C$5:$V$5,0)</f>
        <v>6</v>
      </c>
    </row>
    <row r="40" customFormat="false" ht="15" hidden="false" customHeight="false" outlineLevel="0" collapsed="false">
      <c r="B40" s="13" t="s">
        <v>53</v>
      </c>
      <c r="C40" s="14" t="n">
        <f aca="false">MATCH(C12,$C$5:$V$5,0)</f>
        <v>4</v>
      </c>
      <c r="D40" s="14" t="n">
        <f aca="false">MATCH(D12,$C$5:$V$5,0)</f>
        <v>5</v>
      </c>
      <c r="E40" s="14" t="n">
        <f aca="false">MATCH(E12,$C$5:$V$5,0)</f>
        <v>6</v>
      </c>
      <c r="F40" s="14" t="n">
        <f aca="false">MATCH(F12,$C$5:$V$5,0)</f>
        <v>7</v>
      </c>
      <c r="G40" s="14" t="n">
        <f aca="false">MATCH(G12,$C$5:$V$5,0)</f>
        <v>8</v>
      </c>
    </row>
    <row r="41" customFormat="false" ht="15" hidden="false" customHeight="false" outlineLevel="0" collapsed="false">
      <c r="B41" s="13" t="s">
        <v>54</v>
      </c>
      <c r="C41" s="14" t="n">
        <f aca="false">MATCH(C13,$C$5:$V$5,0)</f>
        <v>10</v>
      </c>
      <c r="D41" s="14" t="n">
        <f aca="false">MATCH(D13,$C$5:$V$5,0)</f>
        <v>9</v>
      </c>
      <c r="E41" s="14" t="n">
        <f aca="false">MATCH(E13,$C$5:$V$5,0)</f>
        <v>10</v>
      </c>
      <c r="F41" s="14" t="n">
        <f aca="false">MATCH(F13,$C$5:$V$5,0)</f>
        <v>11</v>
      </c>
      <c r="G41" s="14" t="n">
        <f aca="false">MATCH(G13,$C$5:$V$5,0)</f>
        <v>12</v>
      </c>
    </row>
    <row r="43" customFormat="false" ht="15" hidden="false" customHeight="false" outlineLevel="0" collapsed="false">
      <c r="B43" s="1" t="s">
        <v>55</v>
      </c>
    </row>
    <row r="44" customFormat="false" ht="15" hidden="false" customHeight="false" outlineLevel="0" collapsed="false">
      <c r="B44" s="0" t="s">
        <v>56</v>
      </c>
      <c r="C44" s="7" t="n">
        <v>30000</v>
      </c>
    </row>
    <row r="45" customFormat="false" ht="15" hidden="false" customHeight="false" outlineLevel="0" collapsed="false">
      <c r="B45" s="0" t="s">
        <v>57</v>
      </c>
      <c r="C45" s="7" t="n">
        <v>75000</v>
      </c>
    </row>
    <row r="46" customFormat="false" ht="15" hidden="false" customHeight="false" outlineLevel="0" collapsed="false">
      <c r="B46" s="0" t="s">
        <v>58</v>
      </c>
      <c r="C46" s="7" t="n">
        <v>95000</v>
      </c>
    </row>
    <row r="47" customFormat="false" ht="15" hidden="false" customHeight="false" outlineLevel="0" collapsed="false">
      <c r="B47" s="0" t="s">
        <v>59</v>
      </c>
      <c r="C47" s="4" t="n">
        <v>8</v>
      </c>
    </row>
    <row r="48" customFormat="false" ht="15" hidden="false" customHeight="false" outlineLevel="0" collapsed="false">
      <c r="B48" s="0" t="s">
        <v>60</v>
      </c>
      <c r="C48" s="8" t="n">
        <f aca="false">ROUNDUP(C47/3,0)</f>
        <v>3</v>
      </c>
    </row>
    <row r="50" customFormat="false" ht="15" hidden="false" customHeight="false" outlineLevel="0" collapsed="false">
      <c r="B50" s="15" t="s">
        <v>61</v>
      </c>
    </row>
    <row r="59" customFormat="false" ht="15" hidden="false" customHeight="false" outlineLevel="0" collapsed="false">
      <c r="B59" s="1" t="s">
        <v>62</v>
      </c>
    </row>
    <row r="60" customFormat="false" ht="15" hidden="false" customHeight="false" outlineLevel="0" collapsed="false">
      <c r="B60" s="0" t="s">
        <v>63</v>
      </c>
      <c r="C60" s="16" t="n">
        <v>3.5</v>
      </c>
    </row>
    <row r="61" customFormat="false" ht="15" hidden="false" customHeight="false" outlineLevel="0" collapsed="false">
      <c r="B61" s="0" t="s">
        <v>64</v>
      </c>
      <c r="C61" s="16" t="n">
        <v>0.75</v>
      </c>
    </row>
    <row r="62" customFormat="false" ht="15" hidden="false" customHeight="false" outlineLevel="0" collapsed="false">
      <c r="B62" s="0" t="s">
        <v>65</v>
      </c>
      <c r="C62" s="16" t="n">
        <v>40</v>
      </c>
    </row>
    <row r="63" customFormat="false" ht="15" hidden="false" customHeight="false" outlineLevel="0" collapsed="false">
      <c r="B63" s="0" t="s">
        <v>66</v>
      </c>
      <c r="C63" s="16" t="n">
        <v>12</v>
      </c>
    </row>
    <row r="65" customFormat="false" ht="15" hidden="false" customHeight="false" outlineLevel="0" collapsed="false">
      <c r="B65" s="1" t="s">
        <v>67</v>
      </c>
    </row>
    <row r="66" customFormat="false" ht="15" hidden="false" customHeight="false" outlineLevel="0" collapsed="false">
      <c r="B66" s="1" t="s">
        <v>68</v>
      </c>
      <c r="C66" s="1" t="s">
        <v>69</v>
      </c>
      <c r="D66" s="1" t="s">
        <v>70</v>
      </c>
      <c r="E66" s="1" t="s">
        <v>71</v>
      </c>
      <c r="F66" s="1" t="s">
        <v>72</v>
      </c>
    </row>
    <row r="67" customFormat="false" ht="15" hidden="false" customHeight="false" outlineLevel="0" collapsed="false">
      <c r="B67" s="10" t="s">
        <v>73</v>
      </c>
      <c r="C67" s="5" t="s">
        <v>74</v>
      </c>
      <c r="D67" s="4" t="n">
        <v>0</v>
      </c>
      <c r="E67" s="4" t="n">
        <v>25</v>
      </c>
      <c r="F67" s="17" t="n">
        <v>18</v>
      </c>
    </row>
    <row r="68" customFormat="false" ht="15" hidden="false" customHeight="false" outlineLevel="0" collapsed="false">
      <c r="B68" s="10" t="s">
        <v>75</v>
      </c>
      <c r="C68" s="5" t="s">
        <v>76</v>
      </c>
      <c r="D68" s="4" t="n">
        <v>1</v>
      </c>
      <c r="E68" s="4" t="n">
        <v>15</v>
      </c>
      <c r="F68" s="17" t="n">
        <v>24</v>
      </c>
    </row>
    <row r="69" customFormat="false" ht="15" hidden="false" customHeight="false" outlineLevel="0" collapsed="false">
      <c r="B69" s="10" t="s">
        <v>77</v>
      </c>
      <c r="C69" s="5" t="s">
        <v>74</v>
      </c>
      <c r="D69" s="4" t="n">
        <v>2</v>
      </c>
      <c r="E69" s="4" t="n">
        <v>35</v>
      </c>
      <c r="F69" s="17" t="n">
        <v>8</v>
      </c>
    </row>
    <row r="70" customFormat="false" ht="15" hidden="false" customHeight="false" outlineLevel="0" collapsed="false">
      <c r="B70" s="10" t="s">
        <v>78</v>
      </c>
      <c r="C70" s="5" t="s">
        <v>74</v>
      </c>
      <c r="D70" s="4" t="n">
        <v>3</v>
      </c>
      <c r="E70" s="4" t="n">
        <v>90</v>
      </c>
      <c r="F70" s="17" t="n">
        <v>5</v>
      </c>
    </row>
    <row r="71" customFormat="false" ht="15" hidden="false" customHeight="false" outlineLevel="0" collapsed="false">
      <c r="B71" s="10" t="s">
        <v>79</v>
      </c>
      <c r="C71" s="5" t="s">
        <v>74</v>
      </c>
      <c r="D71" s="4" t="n">
        <v>5</v>
      </c>
      <c r="E71" s="4" t="n">
        <v>80</v>
      </c>
      <c r="F71" s="17" t="n">
        <v>6</v>
      </c>
    </row>
    <row r="72" customFormat="false" ht="15" hidden="false" customHeight="false" outlineLevel="0" collapsed="false">
      <c r="B72" s="10" t="s">
        <v>80</v>
      </c>
      <c r="C72" s="5" t="s">
        <v>81</v>
      </c>
      <c r="D72" s="4" t="n">
        <v>0</v>
      </c>
      <c r="E72" s="13" t="s">
        <v>82</v>
      </c>
      <c r="F72" s="13" t="s">
        <v>82</v>
      </c>
    </row>
    <row r="73" customFormat="false" ht="15" hidden="false" customHeight="false" outlineLevel="0" collapsed="false">
      <c r="B73" s="10" t="s">
        <v>83</v>
      </c>
      <c r="C73" s="5" t="s">
        <v>81</v>
      </c>
      <c r="D73" s="4" t="n">
        <v>1</v>
      </c>
      <c r="E73" s="13" t="s">
        <v>82</v>
      </c>
      <c r="F73" s="13" t="s">
        <v>82</v>
      </c>
    </row>
    <row r="74" customFormat="false" ht="15" hidden="false" customHeight="false" outlineLevel="0" collapsed="false">
      <c r="B74" s="15" t="s">
        <v>84</v>
      </c>
      <c r="C74" s="5" t="s">
        <v>74</v>
      </c>
      <c r="D74" s="4" t="n">
        <v>0</v>
      </c>
      <c r="E74" s="4" t="n">
        <v>0</v>
      </c>
      <c r="F74" s="17" t="n">
        <v>0</v>
      </c>
    </row>
    <row r="76" customFormat="false" ht="15" hidden="false" customHeight="false" outlineLevel="0" collapsed="false">
      <c r="B76" s="1" t="s">
        <v>85</v>
      </c>
    </row>
    <row r="77" customFormat="false" ht="15" hidden="false" customHeight="false" outlineLevel="0" collapsed="false">
      <c r="B77" s="0" t="s">
        <v>86</v>
      </c>
      <c r="C77" s="9" t="n">
        <v>0.12</v>
      </c>
    </row>
    <row r="78" customFormat="false" ht="15" hidden="false" customHeight="false" outlineLevel="0" collapsed="false">
      <c r="B78" s="0" t="s">
        <v>87</v>
      </c>
      <c r="C78" s="9" t="n">
        <v>0.18</v>
      </c>
    </row>
    <row r="79" customFormat="false" ht="15" hidden="false" customHeight="false" outlineLevel="0" collapsed="false">
      <c r="B79" s="0" t="s">
        <v>88</v>
      </c>
      <c r="C79" s="9" t="n">
        <v>0.28</v>
      </c>
    </row>
    <row r="80" customFormat="false" ht="15" hidden="false" customHeight="false" outlineLevel="0" collapsed="false">
      <c r="B80" s="0" t="s">
        <v>89</v>
      </c>
      <c r="C80" s="9" t="n">
        <v>0.42</v>
      </c>
    </row>
    <row r="81" customFormat="false" ht="15" hidden="false" customHeight="false" outlineLevel="0" collapsed="false">
      <c r="B81" s="0" t="s">
        <v>90</v>
      </c>
      <c r="C81" s="9" t="n">
        <v>0.58</v>
      </c>
    </row>
    <row r="82" customFormat="false" ht="15" hidden="false" customHeight="false" outlineLevel="0" collapsed="false">
      <c r="B82" s="0" t="s">
        <v>91</v>
      </c>
      <c r="C82" s="9" t="n">
        <v>0.75</v>
      </c>
    </row>
    <row r="83" customFormat="false" ht="15" hidden="false" customHeight="false" outlineLevel="0" collapsed="false">
      <c r="B83" s="0" t="s">
        <v>92</v>
      </c>
      <c r="C83" s="9" t="n">
        <v>0.88</v>
      </c>
    </row>
    <row r="84" customFormat="false" ht="15" hidden="false" customHeight="false" outlineLevel="0" collapsed="false">
      <c r="B84" s="0" t="s">
        <v>93</v>
      </c>
      <c r="C84" s="9" t="n">
        <v>1</v>
      </c>
    </row>
    <row r="86" customFormat="false" ht="15" hidden="false" customHeight="false" outlineLevel="0" collapsed="false">
      <c r="B86" s="1" t="s">
        <v>94</v>
      </c>
    </row>
    <row r="87" customFormat="false" ht="15" hidden="false" customHeight="false" outlineLevel="0" collapsed="false">
      <c r="B87" s="0" t="s">
        <v>95</v>
      </c>
      <c r="C87" s="9" t="n">
        <v>1</v>
      </c>
    </row>
    <row r="88" customFormat="false" ht="15" hidden="false" customHeight="false" outlineLevel="0" collapsed="false">
      <c r="B88" s="0" t="s">
        <v>96</v>
      </c>
      <c r="C88" s="9" t="n">
        <v>0.95</v>
      </c>
    </row>
    <row r="89" customFormat="false" ht="15" hidden="false" customHeight="false" outlineLevel="0" collapsed="false">
      <c r="B89" s="0" t="s">
        <v>97</v>
      </c>
      <c r="C89" s="9" t="n">
        <v>0.88</v>
      </c>
    </row>
    <row r="90" customFormat="false" ht="15" hidden="false" customHeight="false" outlineLevel="0" collapsed="false">
      <c r="B90" s="0" t="s">
        <v>98</v>
      </c>
      <c r="C90" s="9" t="n">
        <v>0.8</v>
      </c>
    </row>
    <row r="91" customFormat="false" ht="15" hidden="false" customHeight="false" outlineLevel="0" collapsed="false">
      <c r="B91" s="0" t="s">
        <v>99</v>
      </c>
      <c r="C91" s="9" t="n">
        <v>0.72</v>
      </c>
    </row>
    <row r="92" customFormat="false" ht="15" hidden="false" customHeight="false" outlineLevel="0" collapsed="false">
      <c r="B92" s="0" t="s">
        <v>100</v>
      </c>
      <c r="C92" s="9" t="n">
        <v>0.65</v>
      </c>
    </row>
    <row r="93" customFormat="false" ht="15" hidden="false" customHeight="false" outlineLevel="0" collapsed="false">
      <c r="B93" s="0" t="s">
        <v>101</v>
      </c>
      <c r="C93" s="18" t="n">
        <f aca="false">AVERAGE(C87:C92)</f>
        <v>0.833333333333333</v>
      </c>
    </row>
    <row r="94" customFormat="false" ht="15" hidden="false" customHeight="false" outlineLevel="0" collapsed="false">
      <c r="B94" s="0" t="s">
        <v>102</v>
      </c>
      <c r="C94" s="18" t="n">
        <f aca="false">AVERAGE(C87:C91)</f>
        <v>0.87</v>
      </c>
    </row>
    <row r="95" customFormat="false" ht="15" hidden="false" customHeight="false" outlineLevel="0" collapsed="false">
      <c r="B95" s="0" t="s">
        <v>103</v>
      </c>
      <c r="C95" s="18" t="n">
        <f aca="false">AVERAGE(C87:C90)</f>
        <v>0.9075</v>
      </c>
    </row>
    <row r="96" customFormat="false" ht="15" hidden="false" customHeight="false" outlineLevel="0" collapsed="false">
      <c r="B96" s="0" t="s">
        <v>104</v>
      </c>
      <c r="C96" s="18" t="n">
        <f aca="false">AVERAGE(C87:C89)</f>
        <v>0.943333333333333</v>
      </c>
    </row>
    <row r="97" customFormat="false" ht="15" hidden="false" customHeight="false" outlineLevel="0" collapsed="false">
      <c r="B97" s="0" t="s">
        <v>105</v>
      </c>
      <c r="C97" s="18" t="n">
        <f aca="false">AVERAGE(C87:C88)</f>
        <v>0.975</v>
      </c>
    </row>
    <row r="99" customFormat="false" ht="15" hidden="false" customHeight="false" outlineLevel="0" collapsed="false">
      <c r="B99" s="1" t="s">
        <v>80</v>
      </c>
    </row>
    <row r="100" customFormat="false" ht="15" hidden="false" customHeight="false" outlineLevel="0" collapsed="false">
      <c r="B100" s="0" t="s">
        <v>106</v>
      </c>
      <c r="C100" s="4" t="n">
        <v>80</v>
      </c>
    </row>
    <row r="101" customFormat="false" ht="15" hidden="false" customHeight="false" outlineLevel="0" collapsed="false">
      <c r="B101" s="0" t="s">
        <v>107</v>
      </c>
      <c r="C101" s="9" t="n">
        <v>0.4</v>
      </c>
    </row>
    <row r="102" customFormat="false" ht="15" hidden="false" customHeight="false" outlineLevel="0" collapsed="false">
      <c r="B102" s="0" t="s">
        <v>108</v>
      </c>
      <c r="C102" s="4" t="n">
        <v>5</v>
      </c>
    </row>
    <row r="104" customFormat="false" ht="15" hidden="false" customHeight="false" outlineLevel="0" collapsed="false">
      <c r="B104" s="1" t="s">
        <v>83</v>
      </c>
    </row>
    <row r="105" customFormat="false" ht="15" hidden="false" customHeight="false" outlineLevel="0" collapsed="false">
      <c r="B105" s="0" t="s">
        <v>109</v>
      </c>
      <c r="C105" s="4" t="n">
        <v>250</v>
      </c>
    </row>
    <row r="107" customFormat="false" ht="15" hidden="false" customHeight="false" outlineLevel="0" collapsed="false">
      <c r="B107" s="1" t="s">
        <v>110</v>
      </c>
    </row>
    <row r="108" customFormat="false" ht="15" hidden="false" customHeight="false" outlineLevel="0" collapsed="false">
      <c r="B108" s="1" t="s">
        <v>68</v>
      </c>
      <c r="C108" s="1" t="s">
        <v>111</v>
      </c>
      <c r="D108" s="1" t="s">
        <v>112</v>
      </c>
      <c r="E108" s="1" t="s">
        <v>113</v>
      </c>
      <c r="F108" s="1" t="s">
        <v>114</v>
      </c>
    </row>
    <row r="109" customFormat="false" ht="15" hidden="false" customHeight="false" outlineLevel="0" collapsed="false">
      <c r="B109" s="10" t="s">
        <v>73</v>
      </c>
      <c r="C109" s="4" t="n">
        <v>12</v>
      </c>
      <c r="D109" s="4" t="n">
        <v>18</v>
      </c>
      <c r="E109" s="4" t="n">
        <v>28</v>
      </c>
      <c r="F109" s="5" t="s">
        <v>115</v>
      </c>
    </row>
    <row r="110" customFormat="false" ht="15" hidden="false" customHeight="false" outlineLevel="0" collapsed="false">
      <c r="B110" s="10" t="s">
        <v>75</v>
      </c>
      <c r="C110" s="4" t="n">
        <v>18</v>
      </c>
      <c r="D110" s="4" t="n">
        <v>24</v>
      </c>
      <c r="E110" s="4" t="n">
        <v>45</v>
      </c>
      <c r="F110" s="5" t="s">
        <v>116</v>
      </c>
    </row>
    <row r="111" customFormat="false" ht="15" hidden="false" customHeight="false" outlineLevel="0" collapsed="false">
      <c r="B111" s="10" t="s">
        <v>77</v>
      </c>
      <c r="C111" s="4" t="n">
        <v>4</v>
      </c>
      <c r="D111" s="4" t="n">
        <v>8</v>
      </c>
      <c r="E111" s="4" t="n">
        <v>14</v>
      </c>
      <c r="F111" s="5" t="s">
        <v>117</v>
      </c>
    </row>
    <row r="112" customFormat="false" ht="15" hidden="false" customHeight="false" outlineLevel="0" collapsed="false">
      <c r="B112" s="10" t="s">
        <v>78</v>
      </c>
      <c r="C112" s="4" t="n">
        <v>3</v>
      </c>
      <c r="D112" s="4" t="n">
        <v>5</v>
      </c>
      <c r="E112" s="4" t="n">
        <v>8</v>
      </c>
      <c r="F112" s="5" t="s">
        <v>118</v>
      </c>
    </row>
    <row r="113" customFormat="false" ht="15" hidden="false" customHeight="false" outlineLevel="0" collapsed="false">
      <c r="B113" s="10" t="s">
        <v>79</v>
      </c>
      <c r="C113" s="4" t="n">
        <v>3</v>
      </c>
      <c r="D113" s="4" t="n">
        <v>6</v>
      </c>
      <c r="E113" s="4" t="n">
        <v>10</v>
      </c>
      <c r="F113" s="5" t="s">
        <v>119</v>
      </c>
    </row>
    <row r="116" customFormat="false" ht="15" hidden="false" customHeight="false" outlineLevel="0" collapsed="false">
      <c r="B116" s="1" t="s">
        <v>120</v>
      </c>
    </row>
    <row r="117" customFormat="false" ht="15" hidden="false" customHeight="false" outlineLevel="0" collapsed="false">
      <c r="B117" s="0" t="s">
        <v>121</v>
      </c>
      <c r="C117" s="7" t="n">
        <v>62000</v>
      </c>
    </row>
    <row r="118" customFormat="false" ht="15" hidden="false" customHeight="false" outlineLevel="0" collapsed="false">
      <c r="B118" s="0" t="s">
        <v>122</v>
      </c>
      <c r="C118" s="7" t="n">
        <v>18000</v>
      </c>
    </row>
    <row r="119" customFormat="false" ht="15" hidden="false" customHeight="false" outlineLevel="0" collapsed="false">
      <c r="B119" s="0" t="s">
        <v>123</v>
      </c>
      <c r="C119" s="9" t="n">
        <v>0.35</v>
      </c>
    </row>
    <row r="120" customFormat="false" ht="15" hidden="false" customHeight="false" outlineLevel="0" collapsed="false">
      <c r="B120" s="0" t="s">
        <v>124</v>
      </c>
      <c r="C120" s="6" t="n">
        <f aca="false">C118*12</f>
        <v>216000</v>
      </c>
    </row>
    <row r="121" customFormat="false" ht="15" hidden="false" customHeight="false" outlineLevel="0" collapsed="false">
      <c r="B121" s="0" t="s">
        <v>125</v>
      </c>
      <c r="C121" s="6" t="n">
        <f aca="false">C118*3</f>
        <v>54000</v>
      </c>
    </row>
    <row r="122" customFormat="false" ht="15" hidden="false" customHeight="false" outlineLevel="0" collapsed="false">
      <c r="B122" s="0" t="s">
        <v>126</v>
      </c>
      <c r="C122" s="6" t="n">
        <f aca="false">C117*(1-C119)</f>
        <v>40300</v>
      </c>
    </row>
    <row r="123" customFormat="false" ht="15" hidden="false" customHeight="false" outlineLevel="0" collapsed="false">
      <c r="B123" s="0" t="s">
        <v>127</v>
      </c>
      <c r="C123" s="6" t="n">
        <f aca="false">C121*(1-C119)</f>
        <v>35100</v>
      </c>
    </row>
    <row r="125" customFormat="false" ht="15" hidden="false" customHeight="false" outlineLevel="0" collapsed="false">
      <c r="B125" s="0" t="s">
        <v>128</v>
      </c>
      <c r="C125" s="6" t="n">
        <f aca="false">(C117+('Pipeline Assumptions'!C7-1)*C122)/'Pipeline Assumptions'!C7</f>
        <v>47533.3333333333</v>
      </c>
    </row>
    <row r="126" customFormat="false" ht="15" hidden="false" customHeight="false" outlineLevel="0" collapsed="false">
      <c r="B126" s="0" t="s">
        <v>129</v>
      </c>
      <c r="C126" s="6" t="n">
        <f aca="false">(C121+('Pipeline Assumptions'!C7-1)*C123)/'Pipeline Assumptions'!C7</f>
        <v>41400</v>
      </c>
    </row>
    <row r="128" customFormat="false" ht="15" hidden="false" customHeight="false" outlineLevel="0" collapsed="false">
      <c r="B128" s="1" t="s">
        <v>130</v>
      </c>
    </row>
    <row r="129" customFormat="false" ht="15" hidden="false" customHeight="false" outlineLevel="0" collapsed="false">
      <c r="B129" s="0" t="s">
        <v>131</v>
      </c>
      <c r="C129" s="9" t="n">
        <v>0.12</v>
      </c>
    </row>
    <row r="130" customFormat="false" ht="15" hidden="false" customHeight="false" outlineLevel="0" collapsed="false">
      <c r="B130" s="0" t="s">
        <v>132</v>
      </c>
      <c r="C130" s="9" t="n">
        <v>0.25</v>
      </c>
    </row>
    <row r="131" customFormat="false" ht="15" hidden="false" customHeight="false" outlineLevel="0" collapsed="false">
      <c r="B131" s="0" t="s">
        <v>133</v>
      </c>
      <c r="C131" s="4" t="n">
        <v>5</v>
      </c>
    </row>
    <row r="132" customFormat="false" ht="15" hidden="false" customHeight="false" outlineLevel="0" collapsed="false">
      <c r="B132" s="0" t="s">
        <v>134</v>
      </c>
      <c r="C132" s="19" t="n">
        <v>12</v>
      </c>
    </row>
    <row r="134" customFormat="false" ht="15" hidden="false" customHeight="false" outlineLevel="0" collapsed="false">
      <c r="B134" s="15" t="s">
        <v>135</v>
      </c>
    </row>
    <row r="135" customFormat="false" ht="15" hidden="false" customHeight="false" outlineLevel="0" collapsed="false">
      <c r="B135" s="1" t="s">
        <v>136</v>
      </c>
    </row>
    <row r="136" customFormat="false" ht="15" hidden="false" customHeight="false" outlineLevel="0" collapsed="false">
      <c r="B136" s="10" t="s">
        <v>137</v>
      </c>
      <c r="C136" s="10" t="s">
        <v>138</v>
      </c>
      <c r="D136" s="10" t="s">
        <v>139</v>
      </c>
      <c r="E136" s="10" t="s">
        <v>140</v>
      </c>
      <c r="F136" s="10" t="s">
        <v>141</v>
      </c>
    </row>
    <row r="137" customFormat="false" ht="15" hidden="false" customHeight="false" outlineLevel="0" collapsed="false">
      <c r="B137" s="1" t="s">
        <v>142</v>
      </c>
    </row>
    <row r="138" customFormat="false" ht="15" hidden="false" customHeight="false" outlineLevel="0" collapsed="false">
      <c r="B138" s="10"/>
      <c r="C138" s="10" t="s">
        <v>27</v>
      </c>
      <c r="D138" s="10" t="s">
        <v>143</v>
      </c>
      <c r="E138" s="10" t="s">
        <v>144</v>
      </c>
      <c r="F138" s="10" t="s">
        <v>145</v>
      </c>
    </row>
    <row r="139" customFormat="false" ht="15" hidden="false" customHeight="false" outlineLevel="0" collapsed="false">
      <c r="B139" s="10"/>
      <c r="C139" s="10" t="s">
        <v>28</v>
      </c>
      <c r="D139" s="10" t="s">
        <v>2</v>
      </c>
      <c r="E139" s="10" t="s">
        <v>146</v>
      </c>
      <c r="F139" s="10" t="s">
        <v>147</v>
      </c>
    </row>
    <row r="140" customFormat="false" ht="15" hidden="false" customHeight="false" outlineLevel="0" collapsed="false">
      <c r="B140" s="10"/>
      <c r="C140" s="10" t="s">
        <v>29</v>
      </c>
      <c r="D140" s="10" t="s">
        <v>148</v>
      </c>
      <c r="E140" s="10" t="s">
        <v>149</v>
      </c>
      <c r="F140" s="10" t="s">
        <v>150</v>
      </c>
    </row>
    <row r="141" customFormat="false" ht="15" hidden="false" customHeight="false" outlineLevel="0" collapsed="false">
      <c r="B141" s="10"/>
      <c r="C141" s="10" t="s">
        <v>31</v>
      </c>
      <c r="D141" s="10" t="s">
        <v>151</v>
      </c>
      <c r="E141" s="10" t="s">
        <v>152</v>
      </c>
      <c r="F141" s="10" t="s">
        <v>153</v>
      </c>
    </row>
    <row r="142" customFormat="false" ht="15" hidden="false" customHeight="false" outlineLevel="0" collapsed="false">
      <c r="B142" s="10"/>
      <c r="C142" s="10" t="s">
        <v>32</v>
      </c>
      <c r="D142" s="10" t="s">
        <v>154</v>
      </c>
      <c r="E142" s="10" t="s">
        <v>155</v>
      </c>
      <c r="F142" s="10" t="s">
        <v>156</v>
      </c>
    </row>
    <row r="143" customFormat="false" ht="15" hidden="false" customHeight="false" outlineLevel="0" collapsed="false">
      <c r="B143" s="10"/>
      <c r="C143" s="10" t="s">
        <v>30</v>
      </c>
      <c r="D143" s="10" t="s">
        <v>10</v>
      </c>
      <c r="E143" s="10" t="s">
        <v>157</v>
      </c>
      <c r="F143" s="10" t="s">
        <v>158</v>
      </c>
    </row>
    <row r="144" customFormat="false" ht="15" hidden="false" customHeight="false" outlineLevel="0" collapsed="false">
      <c r="B144" s="1" t="s">
        <v>159</v>
      </c>
    </row>
    <row r="145" customFormat="false" ht="15" hidden="false" customHeight="false" outlineLevel="0" collapsed="false">
      <c r="B145" s="10"/>
      <c r="C145" s="10" t="s">
        <v>33</v>
      </c>
      <c r="D145" s="10" t="s">
        <v>160</v>
      </c>
      <c r="E145" s="10" t="s">
        <v>161</v>
      </c>
      <c r="F145" s="10" t="s">
        <v>162</v>
      </c>
    </row>
    <row r="146" customFormat="false" ht="15" hidden="false" customHeight="false" outlineLevel="0" collapsed="false">
      <c r="B146" s="10"/>
      <c r="C146" s="10" t="s">
        <v>34</v>
      </c>
      <c r="D146" s="10" t="s">
        <v>163</v>
      </c>
      <c r="E146" s="10" t="s">
        <v>155</v>
      </c>
      <c r="F146" s="10" t="s">
        <v>164</v>
      </c>
    </row>
    <row r="147" customFormat="false" ht="15" hidden="false" customHeight="false" outlineLevel="0" collapsed="false">
      <c r="B147" s="1" t="s">
        <v>165</v>
      </c>
    </row>
    <row r="148" customFormat="false" ht="15" hidden="false" customHeight="false" outlineLevel="0" collapsed="false">
      <c r="B148" s="10"/>
      <c r="C148" s="10" t="s">
        <v>38</v>
      </c>
      <c r="D148" s="10" t="s">
        <v>39</v>
      </c>
      <c r="E148" s="10" t="s">
        <v>157</v>
      </c>
      <c r="F148" s="10" t="s">
        <v>166</v>
      </c>
    </row>
    <row r="149" customFormat="false" ht="15" hidden="false" customHeight="false" outlineLevel="0" collapsed="false">
      <c r="B149" s="10"/>
      <c r="C149" s="10" t="s">
        <v>40</v>
      </c>
      <c r="D149" s="10" t="s">
        <v>167</v>
      </c>
      <c r="E149" s="10" t="s">
        <v>157</v>
      </c>
      <c r="F149" s="10" t="s">
        <v>168</v>
      </c>
    </row>
    <row r="150" customFormat="false" ht="15" hidden="false" customHeight="false" outlineLevel="0" collapsed="false">
      <c r="B150" s="10"/>
      <c r="C150" s="10" t="s">
        <v>41</v>
      </c>
      <c r="D150" s="10" t="s">
        <v>169</v>
      </c>
      <c r="E150" s="10" t="s">
        <v>157</v>
      </c>
      <c r="F150" s="10" t="s">
        <v>170</v>
      </c>
    </row>
    <row r="151" customFormat="false" ht="15" hidden="false" customHeight="false" outlineLevel="0" collapsed="false">
      <c r="B151" s="10"/>
      <c r="C151" s="10" t="s">
        <v>42</v>
      </c>
      <c r="D151" s="10" t="s">
        <v>171</v>
      </c>
      <c r="E151" s="10" t="s">
        <v>157</v>
      </c>
      <c r="F151" s="10" t="s">
        <v>172</v>
      </c>
    </row>
    <row r="152" customFormat="false" ht="15" hidden="false" customHeight="false" outlineLevel="0" collapsed="false">
      <c r="B152" s="1" t="s">
        <v>173</v>
      </c>
    </row>
    <row r="153" customFormat="false" ht="15" hidden="false" customHeight="false" outlineLevel="0" collapsed="false">
      <c r="B153" s="10"/>
      <c r="C153" s="10" t="s">
        <v>56</v>
      </c>
      <c r="D153" s="10" t="s">
        <v>174</v>
      </c>
      <c r="E153" s="10" t="s">
        <v>175</v>
      </c>
      <c r="F153" s="10" t="s">
        <v>176</v>
      </c>
    </row>
    <row r="154" customFormat="false" ht="15" hidden="false" customHeight="false" outlineLevel="0" collapsed="false">
      <c r="B154" s="10"/>
      <c r="C154" s="10" t="s">
        <v>177</v>
      </c>
      <c r="D154" s="10" t="s">
        <v>178</v>
      </c>
      <c r="E154" s="10" t="s">
        <v>179</v>
      </c>
      <c r="F154" s="10" t="s">
        <v>180</v>
      </c>
    </row>
    <row r="155" customFormat="false" ht="15" hidden="false" customHeight="false" outlineLevel="0" collapsed="false">
      <c r="B155" s="10"/>
      <c r="C155" s="10" t="s">
        <v>181</v>
      </c>
      <c r="D155" s="10" t="s">
        <v>182</v>
      </c>
      <c r="E155" s="10" t="s">
        <v>179</v>
      </c>
      <c r="F155" s="10" t="s">
        <v>183</v>
      </c>
    </row>
    <row r="156" customFormat="false" ht="15" hidden="false" customHeight="false" outlineLevel="0" collapsed="false">
      <c r="B156" s="10"/>
      <c r="C156" s="10" t="s">
        <v>184</v>
      </c>
      <c r="D156" s="10" t="s">
        <v>163</v>
      </c>
      <c r="E156" s="10" t="s">
        <v>155</v>
      </c>
      <c r="F156" s="10" t="s">
        <v>185</v>
      </c>
    </row>
    <row r="157" customFormat="false" ht="15" hidden="false" customHeight="false" outlineLevel="0" collapsed="false">
      <c r="B157" s="10"/>
      <c r="C157" s="10" t="s">
        <v>186</v>
      </c>
      <c r="D157" s="10" t="s">
        <v>187</v>
      </c>
      <c r="E157" s="10" t="s">
        <v>149</v>
      </c>
      <c r="F157" s="10" t="s">
        <v>188</v>
      </c>
    </row>
    <row r="158" customFormat="false" ht="15" hidden="false" customHeight="false" outlineLevel="0" collapsed="false">
      <c r="B158" s="1" t="s">
        <v>189</v>
      </c>
    </row>
    <row r="159" customFormat="false" ht="15" hidden="false" customHeight="false" outlineLevel="0" collapsed="false">
      <c r="B159" s="10"/>
      <c r="C159" s="10" t="s">
        <v>190</v>
      </c>
      <c r="D159" s="10" t="s">
        <v>191</v>
      </c>
      <c r="E159" s="10" t="s">
        <v>192</v>
      </c>
      <c r="F159" s="10" t="s">
        <v>193</v>
      </c>
    </row>
    <row r="160" customFormat="false" ht="15" hidden="false" customHeight="false" outlineLevel="0" collapsed="false">
      <c r="B160" s="10"/>
      <c r="C160" s="10" t="s">
        <v>194</v>
      </c>
      <c r="D160" s="10" t="s">
        <v>195</v>
      </c>
      <c r="E160" s="10" t="s">
        <v>155</v>
      </c>
      <c r="F160" s="10" t="s">
        <v>196</v>
      </c>
    </row>
    <row r="161" customFormat="false" ht="15" hidden="false" customHeight="false" outlineLevel="0" collapsed="false">
      <c r="B161" s="10"/>
      <c r="C161" s="10" t="s">
        <v>197</v>
      </c>
      <c r="D161" s="10" t="s">
        <v>198</v>
      </c>
      <c r="E161" s="10" t="s">
        <v>199</v>
      </c>
      <c r="F161" s="10" t="s">
        <v>200</v>
      </c>
    </row>
    <row r="162" customFormat="false" ht="15" hidden="false" customHeight="false" outlineLevel="0" collapsed="false">
      <c r="B162" s="10"/>
      <c r="C162" s="10" t="s">
        <v>201</v>
      </c>
      <c r="D162" s="10" t="s">
        <v>202</v>
      </c>
      <c r="E162" s="10" t="s">
        <v>155</v>
      </c>
      <c r="F162" s="10" t="s">
        <v>203</v>
      </c>
    </row>
    <row r="163" customFormat="false" ht="15" hidden="false" customHeight="false" outlineLevel="0" collapsed="false">
      <c r="B163" s="1" t="s">
        <v>204</v>
      </c>
    </row>
    <row r="164" customFormat="false" ht="15" hidden="false" customHeight="false" outlineLevel="0" collapsed="false">
      <c r="B164" s="10"/>
      <c r="C164" s="10" t="s">
        <v>205</v>
      </c>
      <c r="D164" s="10" t="s">
        <v>206</v>
      </c>
      <c r="E164" s="10" t="s">
        <v>155</v>
      </c>
      <c r="F164" s="10" t="s">
        <v>207</v>
      </c>
    </row>
    <row r="165" customFormat="false" ht="15" hidden="false" customHeight="false" outlineLevel="0" collapsed="false">
      <c r="B165" s="10"/>
      <c r="C165" s="10" t="s">
        <v>208</v>
      </c>
      <c r="D165" s="10" t="s">
        <v>209</v>
      </c>
      <c r="E165" s="10" t="s">
        <v>210</v>
      </c>
      <c r="F165" s="10" t="s">
        <v>211</v>
      </c>
    </row>
    <row r="166" customFormat="false" ht="15" hidden="false" customHeight="false" outlineLevel="0" collapsed="false">
      <c r="B166" s="10"/>
      <c r="C166" s="10" t="s">
        <v>212</v>
      </c>
      <c r="D166" s="10" t="s">
        <v>213</v>
      </c>
      <c r="E166" s="10" t="s">
        <v>214</v>
      </c>
      <c r="F166" s="10" t="s">
        <v>215</v>
      </c>
    </row>
    <row r="167" customFormat="false" ht="15" hidden="false" customHeight="false" outlineLevel="0" collapsed="false">
      <c r="B167" s="10"/>
      <c r="C167" s="10" t="s">
        <v>216</v>
      </c>
      <c r="D167" s="10" t="s">
        <v>217</v>
      </c>
      <c r="E167" s="10" t="s">
        <v>218</v>
      </c>
      <c r="F167" s="10" t="s">
        <v>219</v>
      </c>
    </row>
    <row r="168" customFormat="false" ht="15" hidden="false" customHeight="false" outlineLevel="0" collapsed="false">
      <c r="B168" s="10"/>
      <c r="C168" s="10" t="s">
        <v>220</v>
      </c>
      <c r="D168" s="10" t="s">
        <v>221</v>
      </c>
      <c r="E168" s="10" t="s">
        <v>155</v>
      </c>
      <c r="F168" s="10" t="s">
        <v>222</v>
      </c>
    </row>
    <row r="169" customFormat="false" ht="15" hidden="false" customHeight="false" outlineLevel="0" collapsed="false">
      <c r="B169" s="10"/>
      <c r="C169" s="10" t="s">
        <v>223</v>
      </c>
      <c r="D169" s="10" t="s">
        <v>224</v>
      </c>
      <c r="E169" s="10" t="s">
        <v>210</v>
      </c>
      <c r="F169" s="10" t="s">
        <v>225</v>
      </c>
    </row>
    <row r="170" customFormat="false" ht="15" hidden="false" customHeight="false" outlineLevel="0" collapsed="false">
      <c r="B170" s="10"/>
      <c r="C170" s="10" t="s">
        <v>226</v>
      </c>
      <c r="D170" s="10" t="s">
        <v>227</v>
      </c>
      <c r="E170" s="10" t="s">
        <v>228</v>
      </c>
      <c r="F170" s="10" t="s">
        <v>229</v>
      </c>
    </row>
    <row r="171" customFormat="false" ht="15" hidden="false" customHeight="false" outlineLevel="0" collapsed="false">
      <c r="B171" s="10"/>
      <c r="C171" s="10" t="s">
        <v>230</v>
      </c>
      <c r="D171" s="10" t="s">
        <v>231</v>
      </c>
      <c r="E171" s="10" t="s">
        <v>232</v>
      </c>
      <c r="F171" s="10" t="s">
        <v>233</v>
      </c>
    </row>
    <row r="172" customFormat="false" ht="15" hidden="false" customHeight="false" outlineLevel="0" collapsed="false">
      <c r="B172" s="10"/>
      <c r="C172" s="10" t="s">
        <v>234</v>
      </c>
      <c r="D172" s="10" t="s">
        <v>206</v>
      </c>
      <c r="E172" s="10" t="s">
        <v>155</v>
      </c>
      <c r="F172" s="10" t="s">
        <v>235</v>
      </c>
    </row>
    <row r="173" customFormat="false" ht="15" hidden="false" customHeight="false" outlineLevel="0" collapsed="false">
      <c r="B173" s="10"/>
      <c r="C173" s="10" t="s">
        <v>236</v>
      </c>
      <c r="D173" s="10" t="s">
        <v>237</v>
      </c>
      <c r="E173" s="10" t="s">
        <v>238</v>
      </c>
      <c r="F173" s="10" t="s">
        <v>239</v>
      </c>
    </row>
    <row r="174" customFormat="false" ht="15" hidden="false" customHeight="false" outlineLevel="0" collapsed="false">
      <c r="B174" s="10"/>
      <c r="C174" s="10" t="s">
        <v>240</v>
      </c>
      <c r="D174" s="10" t="s">
        <v>241</v>
      </c>
      <c r="E174" s="10" t="s">
        <v>242</v>
      </c>
      <c r="F174" s="10" t="s">
        <v>243</v>
      </c>
    </row>
    <row r="175" customFormat="false" ht="15" hidden="false" customHeight="false" outlineLevel="0" collapsed="false">
      <c r="B175" s="10"/>
      <c r="C175" s="10" t="s">
        <v>244</v>
      </c>
      <c r="D175" s="10" t="s">
        <v>206</v>
      </c>
      <c r="E175" s="10" t="s">
        <v>155</v>
      </c>
      <c r="F175" s="10" t="s">
        <v>245</v>
      </c>
    </row>
    <row r="176" customFormat="false" ht="15" hidden="false" customHeight="false" outlineLevel="0" collapsed="false">
      <c r="B176" s="10"/>
      <c r="C176" s="10" t="s">
        <v>246</v>
      </c>
      <c r="D176" s="10" t="s">
        <v>247</v>
      </c>
      <c r="E176" s="10" t="s">
        <v>248</v>
      </c>
      <c r="F176" s="10" t="s">
        <v>249</v>
      </c>
    </row>
    <row r="177" customFormat="false" ht="15" hidden="false" customHeight="false" outlineLevel="0" collapsed="false">
      <c r="B177" s="10"/>
      <c r="C177" s="10" t="s">
        <v>250</v>
      </c>
      <c r="D177" s="10" t="s">
        <v>251</v>
      </c>
      <c r="E177" s="10" t="s">
        <v>252</v>
      </c>
      <c r="F177" s="10" t="s">
        <v>253</v>
      </c>
    </row>
    <row r="178" customFormat="false" ht="15" hidden="false" customHeight="false" outlineLevel="0" collapsed="false">
      <c r="B178" s="10"/>
      <c r="C178" s="10" t="s">
        <v>254</v>
      </c>
      <c r="D178" s="10" t="s">
        <v>206</v>
      </c>
      <c r="E178" s="10" t="s">
        <v>155</v>
      </c>
      <c r="F178" s="10" t="s">
        <v>255</v>
      </c>
    </row>
    <row r="179" customFormat="false" ht="15" hidden="false" customHeight="false" outlineLevel="0" collapsed="false">
      <c r="B179" s="10"/>
      <c r="C179" s="10" t="s">
        <v>256</v>
      </c>
      <c r="D179" s="10" t="s">
        <v>257</v>
      </c>
      <c r="E179" s="10" t="s">
        <v>258</v>
      </c>
      <c r="F179" s="10" t="s">
        <v>259</v>
      </c>
    </row>
    <row r="180" customFormat="false" ht="15" hidden="false" customHeight="false" outlineLevel="0" collapsed="false">
      <c r="B180" s="10"/>
      <c r="C180" s="10" t="s">
        <v>260</v>
      </c>
      <c r="D180" s="10" t="s">
        <v>261</v>
      </c>
      <c r="E180" s="10" t="s">
        <v>262</v>
      </c>
      <c r="F180" s="10" t="s">
        <v>263</v>
      </c>
    </row>
    <row r="181" customFormat="false" ht="15" hidden="false" customHeight="false" outlineLevel="0" collapsed="false">
      <c r="B181" s="10"/>
      <c r="C181" s="10" t="s">
        <v>264</v>
      </c>
      <c r="D181" s="10" t="s">
        <v>265</v>
      </c>
      <c r="E181" s="10" t="s">
        <v>155</v>
      </c>
      <c r="F181" s="10" t="s">
        <v>266</v>
      </c>
    </row>
    <row r="182" customFormat="false" ht="15" hidden="false" customHeight="false" outlineLevel="0" collapsed="false">
      <c r="B182" s="10"/>
      <c r="C182" s="10" t="s">
        <v>267</v>
      </c>
      <c r="D182" s="10" t="s">
        <v>268</v>
      </c>
      <c r="E182" s="10" t="s">
        <v>155</v>
      </c>
      <c r="F182" s="10" t="s">
        <v>269</v>
      </c>
    </row>
    <row r="183" customFormat="false" ht="15" hidden="false" customHeight="false" outlineLevel="0" collapsed="false">
      <c r="B183" s="1" t="s">
        <v>270</v>
      </c>
    </row>
    <row r="184" customFormat="false" ht="15" hidden="false" customHeight="false" outlineLevel="0" collapsed="false">
      <c r="B184" s="10"/>
      <c r="C184" s="10" t="s">
        <v>271</v>
      </c>
      <c r="D184" s="10" t="s">
        <v>272</v>
      </c>
      <c r="E184" s="10" t="s">
        <v>273</v>
      </c>
      <c r="F184" s="10" t="s">
        <v>274</v>
      </c>
    </row>
    <row r="185" customFormat="false" ht="15" hidden="false" customHeight="false" outlineLevel="0" collapsed="false">
      <c r="B185" s="10"/>
      <c r="C185" s="10" t="s">
        <v>275</v>
      </c>
      <c r="D185" s="10" t="s">
        <v>276</v>
      </c>
      <c r="E185" s="10" t="s">
        <v>277</v>
      </c>
      <c r="F185" s="10" t="s">
        <v>278</v>
      </c>
    </row>
    <row r="186" customFormat="false" ht="15" hidden="false" customHeight="false" outlineLevel="0" collapsed="false">
      <c r="B186" s="10"/>
      <c r="C186" s="10" t="s">
        <v>279</v>
      </c>
      <c r="D186" s="10" t="s">
        <v>276</v>
      </c>
      <c r="E186" s="10" t="s">
        <v>280</v>
      </c>
      <c r="F186" s="10" t="s">
        <v>281</v>
      </c>
    </row>
    <row r="187" customFormat="false" ht="15" hidden="false" customHeight="false" outlineLevel="0" collapsed="false">
      <c r="B187" s="10"/>
      <c r="C187" s="10" t="s">
        <v>282</v>
      </c>
      <c r="D187" s="10" t="s">
        <v>283</v>
      </c>
      <c r="E187" s="10" t="s">
        <v>284</v>
      </c>
      <c r="F187" s="10" t="s">
        <v>285</v>
      </c>
    </row>
    <row r="188" customFormat="false" ht="15" hidden="false" customHeight="false" outlineLevel="0" collapsed="false">
      <c r="B188" s="10"/>
      <c r="C188" s="10" t="s">
        <v>286</v>
      </c>
      <c r="D188" s="10" t="s">
        <v>287</v>
      </c>
      <c r="E188" s="10" t="s">
        <v>288</v>
      </c>
      <c r="F188" s="10" t="s">
        <v>289</v>
      </c>
    </row>
    <row r="189" customFormat="false" ht="15" hidden="false" customHeight="false" outlineLevel="0" collapsed="false">
      <c r="B189" s="10"/>
      <c r="C189" s="10" t="s">
        <v>290</v>
      </c>
      <c r="D189" s="10" t="s">
        <v>291</v>
      </c>
      <c r="E189" s="10" t="s">
        <v>288</v>
      </c>
      <c r="F189" s="10" t="s">
        <v>292</v>
      </c>
    </row>
    <row r="190" customFormat="false" ht="15" hidden="false" customHeight="false" outlineLevel="0" collapsed="false">
      <c r="B190" s="10"/>
      <c r="C190" s="10" t="s">
        <v>293</v>
      </c>
      <c r="D190" s="10" t="s">
        <v>294</v>
      </c>
      <c r="E190" s="10" t="s">
        <v>288</v>
      </c>
      <c r="F190" s="10" t="s">
        <v>295</v>
      </c>
    </row>
    <row r="191" customFormat="false" ht="15" hidden="false" customHeight="false" outlineLevel="0" collapsed="false">
      <c r="B191" s="10"/>
      <c r="C191" s="10" t="s">
        <v>296</v>
      </c>
      <c r="D191" s="10" t="s">
        <v>297</v>
      </c>
      <c r="E191" s="10" t="s">
        <v>288</v>
      </c>
      <c r="F191" s="10" t="s">
        <v>298</v>
      </c>
    </row>
    <row r="192" customFormat="false" ht="15" hidden="false" customHeight="false" outlineLevel="0" collapsed="false">
      <c r="B192" s="1" t="s">
        <v>299</v>
      </c>
    </row>
    <row r="193" customFormat="false" ht="15" hidden="false" customHeight="false" outlineLevel="0" collapsed="false">
      <c r="B193" s="10"/>
      <c r="C193" s="10" t="s">
        <v>106</v>
      </c>
      <c r="D193" s="10" t="s">
        <v>300</v>
      </c>
      <c r="E193" s="10" t="s">
        <v>301</v>
      </c>
      <c r="F193" s="10" t="s">
        <v>302</v>
      </c>
    </row>
    <row r="194" customFormat="false" ht="15" hidden="false" customHeight="false" outlineLevel="0" collapsed="false">
      <c r="B194" s="10"/>
      <c r="C194" s="10" t="s">
        <v>107</v>
      </c>
      <c r="D194" s="10" t="s">
        <v>303</v>
      </c>
      <c r="E194" s="10" t="s">
        <v>304</v>
      </c>
      <c r="F194" s="10" t="s">
        <v>305</v>
      </c>
    </row>
    <row r="195" customFormat="false" ht="15" hidden="false" customHeight="false" outlineLevel="0" collapsed="false">
      <c r="B195" s="10"/>
      <c r="C195" s="10" t="s">
        <v>108</v>
      </c>
      <c r="D195" s="10" t="s">
        <v>306</v>
      </c>
      <c r="E195" s="10" t="s">
        <v>307</v>
      </c>
      <c r="F195" s="10" t="s">
        <v>308</v>
      </c>
    </row>
    <row r="196" customFormat="false" ht="15" hidden="false" customHeight="false" outlineLevel="0" collapsed="false">
      <c r="B196" s="10"/>
      <c r="C196" s="10" t="s">
        <v>109</v>
      </c>
      <c r="D196" s="10" t="s">
        <v>309</v>
      </c>
      <c r="E196" s="10" t="s">
        <v>310</v>
      </c>
      <c r="F196" s="10" t="s">
        <v>311</v>
      </c>
    </row>
    <row r="197" customFormat="false" ht="15" hidden="false" customHeight="false" outlineLevel="0" collapsed="false">
      <c r="B197" s="1" t="s">
        <v>312</v>
      </c>
    </row>
    <row r="198" customFormat="false" ht="15" hidden="false" customHeight="false" outlineLevel="0" collapsed="false">
      <c r="B198" s="10" t="s">
        <v>313</v>
      </c>
      <c r="C198" s="10" t="s">
        <v>314</v>
      </c>
      <c r="D198" s="10" t="s">
        <v>315</v>
      </c>
      <c r="E198" s="10" t="s">
        <v>316</v>
      </c>
      <c r="F198" s="10" t="s">
        <v>317</v>
      </c>
    </row>
    <row r="199" customFormat="false" ht="15" hidden="false" customHeight="false" outlineLevel="0" collapsed="false">
      <c r="B199" s="10" t="s">
        <v>318</v>
      </c>
      <c r="C199" s="10" t="s">
        <v>319</v>
      </c>
      <c r="D199" s="10" t="s">
        <v>320</v>
      </c>
      <c r="E199" s="10" t="s">
        <v>321</v>
      </c>
      <c r="F199" s="10" t="s">
        <v>322</v>
      </c>
    </row>
    <row r="200" customFormat="false" ht="15" hidden="false" customHeight="false" outlineLevel="0" collapsed="false">
      <c r="B200" s="1" t="s">
        <v>323</v>
      </c>
    </row>
    <row r="201" customFormat="false" ht="15" hidden="false" customHeight="false" outlineLevel="0" collapsed="false">
      <c r="B201" s="10" t="s">
        <v>324</v>
      </c>
      <c r="C201" s="10" t="s">
        <v>325</v>
      </c>
      <c r="D201" s="10" t="s">
        <v>326</v>
      </c>
      <c r="E201" s="10" t="s">
        <v>327</v>
      </c>
      <c r="F201" s="10" t="s">
        <v>328</v>
      </c>
    </row>
    <row r="202" customFormat="false" ht="15" hidden="false" customHeight="false" outlineLevel="0" collapsed="false">
      <c r="B202" s="10" t="s">
        <v>329</v>
      </c>
      <c r="C202" s="10" t="s">
        <v>330</v>
      </c>
      <c r="D202" s="10" t="s">
        <v>331</v>
      </c>
      <c r="E202" s="10" t="s">
        <v>327</v>
      </c>
    </row>
    <row r="203" customFormat="false" ht="15" hidden="false" customHeight="false" outlineLevel="0" collapsed="false">
      <c r="B203" s="10" t="s">
        <v>332</v>
      </c>
      <c r="C203" s="10" t="s">
        <v>333</v>
      </c>
      <c r="D203" s="10" t="s">
        <v>334</v>
      </c>
      <c r="E203" s="10" t="s">
        <v>335</v>
      </c>
      <c r="F203" s="10" t="s">
        <v>336</v>
      </c>
    </row>
    <row r="204" customFormat="false" ht="15" hidden="false" customHeight="false" outlineLevel="0" collapsed="false">
      <c r="B204" s="10" t="s">
        <v>337</v>
      </c>
      <c r="C204" s="10" t="s">
        <v>338</v>
      </c>
      <c r="D204" s="10" t="s">
        <v>339</v>
      </c>
      <c r="E204" s="10" t="s">
        <v>340</v>
      </c>
      <c r="F204" s="10" t="s">
        <v>341</v>
      </c>
    </row>
    <row r="205" customFormat="false" ht="15" hidden="false" customHeight="false" outlineLevel="0" collapsed="false">
      <c r="B205" s="10" t="s">
        <v>342</v>
      </c>
      <c r="C205" s="10" t="s">
        <v>343</v>
      </c>
      <c r="D205" s="10" t="s">
        <v>344</v>
      </c>
      <c r="E205" s="10" t="s">
        <v>345</v>
      </c>
      <c r="F205" s="10" t="s">
        <v>346</v>
      </c>
    </row>
    <row r="206" customFormat="false" ht="15" hidden="false" customHeight="false" outlineLevel="0" collapsed="false">
      <c r="B206" s="10" t="s">
        <v>347</v>
      </c>
      <c r="C206" s="10" t="s">
        <v>348</v>
      </c>
      <c r="D206" s="10" t="s">
        <v>349</v>
      </c>
      <c r="E206" s="10" t="s">
        <v>350</v>
      </c>
      <c r="F206" s="10" t="s">
        <v>351</v>
      </c>
    </row>
    <row r="207" customFormat="false" ht="15" hidden="false" customHeight="false" outlineLevel="0" collapsed="false">
      <c r="B207" s="1" t="s">
        <v>352</v>
      </c>
    </row>
    <row r="208" customFormat="false" ht="15" hidden="false" customHeight="false" outlineLevel="0" collapsed="false">
      <c r="B208" s="10" t="s">
        <v>68</v>
      </c>
      <c r="C208" s="10" t="s">
        <v>111</v>
      </c>
      <c r="D208" s="10" t="s">
        <v>112</v>
      </c>
      <c r="E208" s="10" t="s">
        <v>113</v>
      </c>
      <c r="F208" s="10" t="s">
        <v>114</v>
      </c>
    </row>
    <row r="209" customFormat="false" ht="15" hidden="false" customHeight="false" outlineLevel="0" collapsed="false">
      <c r="B209" s="10" t="s">
        <v>73</v>
      </c>
      <c r="C209" s="10" t="s">
        <v>353</v>
      </c>
      <c r="D209" s="10" t="s">
        <v>354</v>
      </c>
      <c r="E209" s="10" t="s">
        <v>355</v>
      </c>
      <c r="F209" s="10" t="s">
        <v>356</v>
      </c>
    </row>
    <row r="210" customFormat="false" ht="15" hidden="false" customHeight="false" outlineLevel="0" collapsed="false">
      <c r="B210" s="10" t="s">
        <v>75</v>
      </c>
      <c r="C210" s="10" t="s">
        <v>354</v>
      </c>
      <c r="D210" s="10" t="s">
        <v>357</v>
      </c>
      <c r="E210" s="10" t="s">
        <v>358</v>
      </c>
      <c r="F210" s="10" t="s">
        <v>359</v>
      </c>
    </row>
    <row r="211" customFormat="false" ht="15" hidden="false" customHeight="false" outlineLevel="0" collapsed="false">
      <c r="B211" s="10" t="s">
        <v>77</v>
      </c>
      <c r="C211" s="10" t="s">
        <v>360</v>
      </c>
      <c r="D211" s="10" t="s">
        <v>361</v>
      </c>
      <c r="E211" s="10" t="s">
        <v>362</v>
      </c>
      <c r="F211" s="10" t="s">
        <v>363</v>
      </c>
    </row>
    <row r="212" customFormat="false" ht="15" hidden="false" customHeight="false" outlineLevel="0" collapsed="false">
      <c r="B212" s="10" t="s">
        <v>78</v>
      </c>
      <c r="C212" s="10" t="s">
        <v>364</v>
      </c>
      <c r="D212" s="10" t="s">
        <v>365</v>
      </c>
      <c r="E212" s="10" t="s">
        <v>361</v>
      </c>
      <c r="F212" s="10" t="s">
        <v>118</v>
      </c>
    </row>
    <row r="213" customFormat="false" ht="15" hidden="false" customHeight="false" outlineLevel="0" collapsed="false">
      <c r="B213" s="10" t="s">
        <v>79</v>
      </c>
      <c r="C213" s="10" t="s">
        <v>364</v>
      </c>
      <c r="D213" s="10" t="s">
        <v>366</v>
      </c>
      <c r="E213" s="10" t="s">
        <v>367</v>
      </c>
      <c r="F213" s="10" t="s">
        <v>368</v>
      </c>
    </row>
    <row r="214" customFormat="false" ht="15" hidden="false" customHeight="false" outlineLevel="0" collapsed="false">
      <c r="B214" s="1" t="s">
        <v>369</v>
      </c>
    </row>
    <row r="215" customFormat="false" ht="15" hidden="false" customHeight="false" outlineLevel="0" collapsed="false">
      <c r="B215" s="10" t="s">
        <v>137</v>
      </c>
      <c r="C215" s="10" t="s">
        <v>370</v>
      </c>
      <c r="D215" s="10" t="s">
        <v>371</v>
      </c>
      <c r="E215" s="10" t="s">
        <v>372</v>
      </c>
      <c r="F215" s="10" t="s">
        <v>373</v>
      </c>
    </row>
    <row r="216" customFormat="false" ht="15" hidden="false" customHeight="false" outlineLevel="0" collapsed="false">
      <c r="B216" s="10"/>
      <c r="C216" s="10" t="s">
        <v>353</v>
      </c>
      <c r="D216" s="10" t="s">
        <v>361</v>
      </c>
      <c r="E216" s="10" t="s">
        <v>374</v>
      </c>
      <c r="F216" s="10" t="s">
        <v>375</v>
      </c>
    </row>
    <row r="217" customFormat="false" ht="15" hidden="false" customHeight="false" outlineLevel="0" collapsed="false">
      <c r="B217" s="10"/>
      <c r="C217" s="10" t="s">
        <v>376</v>
      </c>
      <c r="D217" s="10" t="s">
        <v>365</v>
      </c>
      <c r="E217" s="10" t="s">
        <v>377</v>
      </c>
      <c r="F217" s="10" t="s">
        <v>378</v>
      </c>
    </row>
    <row r="218" customFormat="false" ht="15" hidden="false" customHeight="false" outlineLevel="0" collapsed="false">
      <c r="B218" s="10"/>
      <c r="C218" s="10" t="s">
        <v>379</v>
      </c>
      <c r="D218" s="10" t="s">
        <v>366</v>
      </c>
      <c r="E218" s="10" t="s">
        <v>380</v>
      </c>
      <c r="F218" s="1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33"/>
    <pageSetUpPr fitToPage="false"/>
  </sheetPr>
  <dimension ref="B1:V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22" min="3" style="0" width="10"/>
  </cols>
  <sheetData>
    <row r="1" customFormat="false" ht="17.35" hidden="false" customHeight="false" outlineLevel="0" collapsed="false">
      <c r="B1" s="20" t="s">
        <v>382</v>
      </c>
    </row>
    <row r="3" customFormat="false" ht="15" hidden="false" customHeight="false" outlineLevel="0" collapsed="false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</row>
    <row r="4" customFormat="false" ht="15" hidden="false" customHeight="false" outlineLevel="0" collapsed="false"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</row>
    <row r="6" customFormat="false" ht="15" hidden="false" customHeight="false" outlineLevel="0" collapsed="false">
      <c r="B6" s="0" t="s">
        <v>383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2</v>
      </c>
      <c r="N6" s="4" t="n">
        <v>3</v>
      </c>
      <c r="O6" s="4" t="n">
        <v>4</v>
      </c>
      <c r="P6" s="4" t="n">
        <v>3</v>
      </c>
      <c r="Q6" s="4" t="n">
        <v>4</v>
      </c>
      <c r="R6" s="4" t="n">
        <v>4</v>
      </c>
      <c r="S6" s="4" t="n">
        <v>5</v>
      </c>
      <c r="T6" s="4" t="n">
        <v>4</v>
      </c>
      <c r="U6" s="4" t="n">
        <v>6</v>
      </c>
      <c r="V6" s="4" t="n">
        <v>5</v>
      </c>
    </row>
    <row r="7" customFormat="false" ht="15" hidden="false" customHeight="false" outlineLevel="0" collapsed="false">
      <c r="B7" s="0" t="s">
        <v>384</v>
      </c>
      <c r="C7" s="4" t="n">
        <v>3</v>
      </c>
    </row>
    <row r="8" customFormat="false" ht="15" hidden="false" customHeight="false" outlineLevel="0" collapsed="false">
      <c r="B8" s="0" t="s">
        <v>385</v>
      </c>
      <c r="C8" s="8" t="n">
        <f aca="false">C6*$C$7</f>
        <v>0</v>
      </c>
      <c r="D8" s="8" t="n">
        <f aca="false">D6*$C$7</f>
        <v>0</v>
      </c>
      <c r="E8" s="8" t="n">
        <f aca="false">E6*$C$7</f>
        <v>0</v>
      </c>
      <c r="F8" s="8" t="n">
        <f aca="false">F6*$C$7</f>
        <v>0</v>
      </c>
      <c r="G8" s="8" t="n">
        <f aca="false">G6*$C$7</f>
        <v>0</v>
      </c>
      <c r="H8" s="8" t="n">
        <f aca="false">H6*$C$7</f>
        <v>0</v>
      </c>
      <c r="I8" s="8" t="n">
        <f aca="false">I6*$C$7</f>
        <v>0</v>
      </c>
      <c r="J8" s="8" t="n">
        <f aca="false">J6*$C$7</f>
        <v>0</v>
      </c>
      <c r="K8" s="8" t="n">
        <f aca="false">K6*$C$7</f>
        <v>3</v>
      </c>
      <c r="L8" s="8" t="n">
        <f aca="false">L6*$C$7</f>
        <v>6</v>
      </c>
      <c r="M8" s="8" t="n">
        <f aca="false">M6*$C$7</f>
        <v>6</v>
      </c>
      <c r="N8" s="8" t="n">
        <f aca="false">N6*$C$7</f>
        <v>9</v>
      </c>
      <c r="O8" s="8" t="n">
        <f aca="false">O6*$C$7</f>
        <v>12</v>
      </c>
      <c r="P8" s="8" t="n">
        <f aca="false">P6*$C$7</f>
        <v>9</v>
      </c>
      <c r="Q8" s="8" t="n">
        <f aca="false">Q6*$C$7</f>
        <v>12</v>
      </c>
      <c r="R8" s="8" t="n">
        <f aca="false">R6*$C$7</f>
        <v>12</v>
      </c>
      <c r="S8" s="8" t="n">
        <f aca="false">S6*$C$7</f>
        <v>15</v>
      </c>
      <c r="T8" s="8" t="n">
        <f aca="false">T6*$C$7</f>
        <v>12</v>
      </c>
      <c r="U8" s="8" t="n">
        <f aca="false">U6*$C$7</f>
        <v>18</v>
      </c>
      <c r="V8" s="8" t="n">
        <f aca="false">V6*$C$7</f>
        <v>15</v>
      </c>
    </row>
    <row r="9" customFormat="false" ht="15" hidden="false" customHeight="false" outlineLevel="0" collapsed="false">
      <c r="B9" s="0" t="s">
        <v>386</v>
      </c>
      <c r="C9" s="8" t="n">
        <f aca="false">C8</f>
        <v>0</v>
      </c>
      <c r="D9" s="8" t="n">
        <f aca="false">C9+D8</f>
        <v>0</v>
      </c>
      <c r="E9" s="8" t="n">
        <f aca="false">D9+E8</f>
        <v>0</v>
      </c>
      <c r="F9" s="8" t="n">
        <f aca="false">E9+F8</f>
        <v>0</v>
      </c>
      <c r="G9" s="8" t="n">
        <f aca="false">F9+G8</f>
        <v>0</v>
      </c>
      <c r="H9" s="8" t="n">
        <f aca="false">G9+H8</f>
        <v>0</v>
      </c>
      <c r="I9" s="8" t="n">
        <f aca="false">H9+I8</f>
        <v>0</v>
      </c>
      <c r="J9" s="8" t="n">
        <f aca="false">I9+J8</f>
        <v>0</v>
      </c>
      <c r="K9" s="8" t="n">
        <f aca="false">J9+K8</f>
        <v>3</v>
      </c>
      <c r="L9" s="8" t="n">
        <f aca="false">K9+L8</f>
        <v>9</v>
      </c>
      <c r="M9" s="8" t="n">
        <f aca="false">L9+M8</f>
        <v>15</v>
      </c>
      <c r="N9" s="8" t="n">
        <f aca="false">M9+N8</f>
        <v>24</v>
      </c>
      <c r="O9" s="8" t="n">
        <f aca="false">N9+O8</f>
        <v>36</v>
      </c>
      <c r="P9" s="8" t="n">
        <f aca="false">O9+P8</f>
        <v>45</v>
      </c>
      <c r="Q9" s="8" t="n">
        <f aca="false">P9+Q8</f>
        <v>57</v>
      </c>
      <c r="R9" s="8" t="n">
        <f aca="false">Q9+R8</f>
        <v>69</v>
      </c>
      <c r="S9" s="8" t="n">
        <f aca="false">R9+S8</f>
        <v>84</v>
      </c>
      <c r="T9" s="8" t="n">
        <f aca="false">S9+T8</f>
        <v>96</v>
      </c>
      <c r="U9" s="8" t="n">
        <f aca="false">T9+U8</f>
        <v>114</v>
      </c>
      <c r="V9" s="8" t="n">
        <f aca="false">U9+V8</f>
        <v>129</v>
      </c>
    </row>
    <row r="10" customFormat="false" ht="15" hidden="false" customHeight="false" outlineLevel="0" collapsed="false">
      <c r="B10" s="0" t="s">
        <v>387</v>
      </c>
      <c r="C10" s="8" t="n">
        <f aca="false">IF(COLUMN(C8)-COLUMN($C$8)&gt;=Assumptions!$C$48,INDEX($C$8:$V$8,1,COLUMN(C8)-COLUMN($C$8)+1-Assumptions!$C$48),0)</f>
        <v>0</v>
      </c>
      <c r="D10" s="8" t="n">
        <f aca="false">IF(COLUMN(D8)-COLUMN($C$8)&gt;=Assumptions!$C$48,INDEX($C$8:$V$8,1,COLUMN(D8)-COLUMN($C$8)+1-Assumptions!$C$48),0)</f>
        <v>0</v>
      </c>
      <c r="E10" s="8" t="n">
        <f aca="false">IF(COLUMN(E8)-COLUMN($C$8)&gt;=Assumptions!$C$48,INDEX($C$8:$V$8,1,COLUMN(E8)-COLUMN($C$8)+1-Assumptions!$C$48),0)</f>
        <v>0</v>
      </c>
      <c r="F10" s="8" t="n">
        <f aca="false">IF(COLUMN(F8)-COLUMN($C$8)&gt;=Assumptions!$C$48,INDEX($C$8:$V$8,1,COLUMN(F8)-COLUMN($C$8)+1-Assumptions!$C$48),0)</f>
        <v>0</v>
      </c>
      <c r="G10" s="8" t="n">
        <f aca="false">IF(COLUMN(G8)-COLUMN($C$8)&gt;=Assumptions!$C$48,INDEX($C$8:$V$8,1,COLUMN(G8)-COLUMN($C$8)+1-Assumptions!$C$48),0)</f>
        <v>0</v>
      </c>
      <c r="H10" s="8" t="n">
        <f aca="false">IF(COLUMN(H8)-COLUMN($C$8)&gt;=Assumptions!$C$48,INDEX($C$8:$V$8,1,COLUMN(H8)-COLUMN($C$8)+1-Assumptions!$C$48),0)</f>
        <v>0</v>
      </c>
      <c r="I10" s="8" t="n">
        <f aca="false">IF(COLUMN(I8)-COLUMN($C$8)&gt;=Assumptions!$C$48,INDEX($C$8:$V$8,1,COLUMN(I8)-COLUMN($C$8)+1-Assumptions!$C$48),0)</f>
        <v>0</v>
      </c>
      <c r="J10" s="8" t="n">
        <f aca="false">IF(COLUMN(J8)-COLUMN($C$8)&gt;=Assumptions!$C$48,INDEX($C$8:$V$8,1,COLUMN(J8)-COLUMN($C$8)+1-Assumptions!$C$48),0)</f>
        <v>0</v>
      </c>
      <c r="K10" s="8" t="n">
        <f aca="false">IF(COLUMN(K8)-COLUMN($C$8)&gt;=Assumptions!$C$48,INDEX($C$8:$V$8,1,COLUMN(K8)-COLUMN($C$8)+1-Assumptions!$C$48),0)</f>
        <v>0</v>
      </c>
      <c r="L10" s="8" t="n">
        <f aca="false">IF(COLUMN(L8)-COLUMN($C$8)&gt;=Assumptions!$C$48,INDEX($C$8:$V$8,1,COLUMN(L8)-COLUMN($C$8)+1-Assumptions!$C$48),0)</f>
        <v>0</v>
      </c>
      <c r="M10" s="8" t="n">
        <f aca="false">IF(COLUMN(M8)-COLUMN($C$8)&gt;=Assumptions!$C$48,INDEX($C$8:$V$8,1,COLUMN(M8)-COLUMN($C$8)+1-Assumptions!$C$48),0)</f>
        <v>0</v>
      </c>
      <c r="N10" s="8" t="n">
        <f aca="false">IF(COLUMN(N8)-COLUMN($C$8)&gt;=Assumptions!$C$48,INDEX($C$8:$V$8,1,COLUMN(N8)-COLUMN($C$8)+1-Assumptions!$C$48),0)</f>
        <v>3</v>
      </c>
      <c r="O10" s="8" t="n">
        <f aca="false">IF(COLUMN(O8)-COLUMN($C$8)&gt;=Assumptions!$C$48,INDEX($C$8:$V$8,1,COLUMN(O8)-COLUMN($C$8)+1-Assumptions!$C$48),0)</f>
        <v>6</v>
      </c>
      <c r="P10" s="8" t="n">
        <f aca="false">IF(COLUMN(P8)-COLUMN($C$8)&gt;=Assumptions!$C$48,INDEX($C$8:$V$8,1,COLUMN(P8)-COLUMN($C$8)+1-Assumptions!$C$48),0)</f>
        <v>6</v>
      </c>
      <c r="Q10" s="8" t="n">
        <f aca="false">IF(COLUMN(Q8)-COLUMN($C$8)&gt;=Assumptions!$C$48,INDEX($C$8:$V$8,1,COLUMN(Q8)-COLUMN($C$8)+1-Assumptions!$C$48),0)</f>
        <v>9</v>
      </c>
      <c r="R10" s="8" t="n">
        <f aca="false">IF(COLUMN(R8)-COLUMN($C$8)&gt;=Assumptions!$C$48,INDEX($C$8:$V$8,1,COLUMN(R8)-COLUMN($C$8)+1-Assumptions!$C$48),0)</f>
        <v>12</v>
      </c>
      <c r="S10" s="8" t="n">
        <f aca="false">IF(COLUMN(S8)-COLUMN($C$8)&gt;=Assumptions!$C$48,INDEX($C$8:$V$8,1,COLUMN(S8)-COLUMN($C$8)+1-Assumptions!$C$48),0)</f>
        <v>9</v>
      </c>
      <c r="T10" s="8" t="n">
        <f aca="false">IF(COLUMN(T8)-COLUMN($C$8)&gt;=Assumptions!$C$48,INDEX($C$8:$V$8,1,COLUMN(T8)-COLUMN($C$8)+1-Assumptions!$C$48),0)</f>
        <v>12</v>
      </c>
      <c r="U10" s="8" t="n">
        <f aca="false">IF(COLUMN(U8)-COLUMN($C$8)&gt;=Assumptions!$C$48,INDEX($C$8:$V$8,1,COLUMN(U8)-COLUMN($C$8)+1-Assumptions!$C$48),0)</f>
        <v>12</v>
      </c>
      <c r="V10" s="8" t="n">
        <f aca="false">IF(COLUMN(V8)-COLUMN($C$8)&gt;=Assumptions!$C$48,INDEX($C$8:$V$8,1,COLUMN(V8)-COLUMN($C$8)+1-Assumptions!$C$48),0)</f>
        <v>15</v>
      </c>
    </row>
    <row r="11" customFormat="false" ht="15" hidden="false" customHeight="false" outlineLevel="0" collapsed="false">
      <c r="B11" s="0" t="s">
        <v>388</v>
      </c>
      <c r="C11" s="8" t="n">
        <f aca="false">C10</f>
        <v>0</v>
      </c>
      <c r="D11" s="8" t="n">
        <f aca="false">C11+D10</f>
        <v>0</v>
      </c>
      <c r="E11" s="8" t="n">
        <f aca="false">D11+E10</f>
        <v>0</v>
      </c>
      <c r="F11" s="8" t="n">
        <f aca="false">E11+F10</f>
        <v>0</v>
      </c>
      <c r="G11" s="8" t="n">
        <f aca="false">F11+G10</f>
        <v>0</v>
      </c>
      <c r="H11" s="8" t="n">
        <f aca="false">G11+H10</f>
        <v>0</v>
      </c>
      <c r="I11" s="8" t="n">
        <f aca="false">H11+I10</f>
        <v>0</v>
      </c>
      <c r="J11" s="8" t="n">
        <f aca="false">I11+J10</f>
        <v>0</v>
      </c>
      <c r="K11" s="8" t="n">
        <f aca="false">J11+K10</f>
        <v>0</v>
      </c>
      <c r="L11" s="8" t="n">
        <f aca="false">K11+L10</f>
        <v>0</v>
      </c>
      <c r="M11" s="8" t="n">
        <f aca="false">L11+M10</f>
        <v>0</v>
      </c>
      <c r="N11" s="8" t="n">
        <f aca="false">M11+N10</f>
        <v>3</v>
      </c>
      <c r="O11" s="8" t="n">
        <f aca="false">N11+O10</f>
        <v>9</v>
      </c>
      <c r="P11" s="8" t="n">
        <f aca="false">O11+P10</f>
        <v>15</v>
      </c>
      <c r="Q11" s="8" t="n">
        <f aca="false">P11+Q10</f>
        <v>24</v>
      </c>
      <c r="R11" s="8" t="n">
        <f aca="false">Q11+R10</f>
        <v>36</v>
      </c>
      <c r="S11" s="8" t="n">
        <f aca="false">R11+S10</f>
        <v>45</v>
      </c>
      <c r="T11" s="8" t="n">
        <f aca="false">S11+T10</f>
        <v>57</v>
      </c>
      <c r="U11" s="8" t="n">
        <f aca="false">T11+U10</f>
        <v>69</v>
      </c>
      <c r="V11" s="8" t="n">
        <f aca="false">U11+V10</f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V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22" min="3" style="0" width="14"/>
  </cols>
  <sheetData>
    <row r="1" customFormat="false" ht="17.35" hidden="false" customHeight="false" outlineLevel="0" collapsed="false">
      <c r="B1" s="20" t="s">
        <v>389</v>
      </c>
    </row>
    <row r="3" customFormat="false" ht="15" hidden="false" customHeight="false" outlineLevel="0" collapsed="false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</row>
    <row r="4" customFormat="false" ht="15" hidden="false" customHeight="false" outlineLevel="0" collapsed="false"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</row>
    <row r="6" customFormat="false" ht="15" hidden="false" customHeight="false" outlineLevel="0" collapsed="false">
      <c r="B6" s="12" t="s">
        <v>390</v>
      </c>
    </row>
    <row r="7" customFormat="false" ht="15" hidden="false" customHeight="false" outlineLevel="0" collapsed="false">
      <c r="B7" s="13" t="s">
        <v>44</v>
      </c>
      <c r="C7" s="14" t="n">
        <f aca="false">SUM(Assumptions!$C$30:C$30)</f>
        <v>0</v>
      </c>
      <c r="D7" s="14" t="n">
        <f aca="false">SUM(Assumptions!$C$30:D$30)</f>
        <v>0</v>
      </c>
      <c r="E7" s="14" t="n">
        <f aca="false">SUM(Assumptions!$C$30:E$30)</f>
        <v>0</v>
      </c>
      <c r="F7" s="14" t="n">
        <f aca="false">SUM(Assumptions!$C$30:F$30)</f>
        <v>3</v>
      </c>
      <c r="G7" s="14" t="n">
        <f aca="false">SUM(Assumptions!$C$30:G$30)</f>
        <v>6</v>
      </c>
      <c r="H7" s="14" t="n">
        <f aca="false">SUM(Assumptions!$C$30:H$30)</f>
        <v>6</v>
      </c>
      <c r="I7" s="14" t="n">
        <f aca="false">SUM(Assumptions!$C$30:I$30)</f>
        <v>6</v>
      </c>
      <c r="J7" s="14" t="n">
        <f aca="false">SUM(Assumptions!$C$30:J$30)</f>
        <v>6</v>
      </c>
      <c r="K7" s="14" t="n">
        <f aca="false">SUM(Assumptions!$C$30:J$30)</f>
        <v>6</v>
      </c>
      <c r="L7" s="14" t="n">
        <f aca="false">SUM(Assumptions!$C$30:J$30)</f>
        <v>6</v>
      </c>
      <c r="M7" s="14" t="n">
        <f aca="false">SUM(Assumptions!$C$30:J$30)</f>
        <v>6</v>
      </c>
      <c r="N7" s="14" t="n">
        <f aca="false">SUM(Assumptions!$C$30:J$30)</f>
        <v>6</v>
      </c>
      <c r="O7" s="14" t="n">
        <f aca="false">SUM(Assumptions!$C$30:J$30)</f>
        <v>6</v>
      </c>
      <c r="P7" s="14" t="n">
        <f aca="false">SUM(Assumptions!$C$30:J$30)</f>
        <v>6</v>
      </c>
      <c r="Q7" s="14" t="n">
        <f aca="false">SUM(Assumptions!$C$30:J$30)</f>
        <v>6</v>
      </c>
      <c r="R7" s="14" t="n">
        <f aca="false">SUM(Assumptions!$C$30:J$30)</f>
        <v>6</v>
      </c>
      <c r="S7" s="14" t="n">
        <f aca="false">SUM(Assumptions!$C$30:J$30)</f>
        <v>6</v>
      </c>
      <c r="T7" s="14" t="n">
        <f aca="false">SUM(Assumptions!$C$30:J$30)</f>
        <v>6</v>
      </c>
      <c r="U7" s="14" t="n">
        <f aca="false">SUM(Assumptions!$C$30:J$30)</f>
        <v>6</v>
      </c>
      <c r="V7" s="14" t="n">
        <f aca="false">SUM(Assumptions!$C$30:J$30)</f>
        <v>6</v>
      </c>
    </row>
    <row r="8" customFormat="false" ht="15" hidden="false" customHeight="false" outlineLevel="0" collapsed="false">
      <c r="B8" s="13" t="s">
        <v>45</v>
      </c>
      <c r="C8" s="14" t="n">
        <f aca="false">SUM(Assumptions!$C$31:C$31)</f>
        <v>0</v>
      </c>
      <c r="D8" s="14" t="n">
        <f aca="false">SUM(Assumptions!$C$31:D$31)</f>
        <v>0</v>
      </c>
      <c r="E8" s="14" t="n">
        <f aca="false">SUM(Assumptions!$C$31:E$31)</f>
        <v>0</v>
      </c>
      <c r="F8" s="14" t="n">
        <f aca="false">SUM(Assumptions!$C$31:F$31)</f>
        <v>0</v>
      </c>
      <c r="G8" s="14" t="n">
        <f aca="false">SUM(Assumptions!$C$31:G$31)</f>
        <v>2</v>
      </c>
      <c r="H8" s="14" t="n">
        <f aca="false">SUM(Assumptions!$C$31:H$31)</f>
        <v>4</v>
      </c>
      <c r="I8" s="14" t="n">
        <f aca="false">SUM(Assumptions!$C$31:I$31)</f>
        <v>4</v>
      </c>
      <c r="J8" s="14" t="n">
        <f aca="false">SUM(Assumptions!$C$31:J$31)</f>
        <v>4</v>
      </c>
      <c r="K8" s="14" t="n">
        <f aca="false">SUM(Assumptions!$C$31:J$31)</f>
        <v>4</v>
      </c>
      <c r="L8" s="14" t="n">
        <f aca="false">SUM(Assumptions!$C$31:J$31)</f>
        <v>4</v>
      </c>
      <c r="M8" s="14" t="n">
        <f aca="false">SUM(Assumptions!$C$31:J$31)</f>
        <v>4</v>
      </c>
      <c r="N8" s="14" t="n">
        <f aca="false">SUM(Assumptions!$C$31:J$31)</f>
        <v>4</v>
      </c>
      <c r="O8" s="14" t="n">
        <f aca="false">SUM(Assumptions!$C$31:J$31)</f>
        <v>4</v>
      </c>
      <c r="P8" s="14" t="n">
        <f aca="false">SUM(Assumptions!$C$31:J$31)</f>
        <v>4</v>
      </c>
      <c r="Q8" s="14" t="n">
        <f aca="false">SUM(Assumptions!$C$31:J$31)</f>
        <v>4</v>
      </c>
      <c r="R8" s="14" t="n">
        <f aca="false">SUM(Assumptions!$C$31:J$31)</f>
        <v>4</v>
      </c>
      <c r="S8" s="14" t="n">
        <f aca="false">SUM(Assumptions!$C$31:J$31)</f>
        <v>4</v>
      </c>
      <c r="T8" s="14" t="n">
        <f aca="false">SUM(Assumptions!$C$31:J$31)</f>
        <v>4</v>
      </c>
      <c r="U8" s="14" t="n">
        <f aca="false">SUM(Assumptions!$C$31:J$31)</f>
        <v>4</v>
      </c>
      <c r="V8" s="14" t="n">
        <f aca="false">SUM(Assumptions!$C$31:J$31)</f>
        <v>4</v>
      </c>
    </row>
    <row r="9" customFormat="false" ht="15" hidden="false" customHeight="false" outlineLevel="0" collapsed="false">
      <c r="B9" s="13" t="s">
        <v>46</v>
      </c>
      <c r="C9" s="14" t="n">
        <f aca="false">SUM(Assumptions!$C$32:C$32)</f>
        <v>0</v>
      </c>
      <c r="D9" s="14" t="n">
        <f aca="false">SUM(Assumptions!$C$32:D$32)</f>
        <v>0</v>
      </c>
      <c r="E9" s="14" t="n">
        <f aca="false">SUM(Assumptions!$C$32:E$32)</f>
        <v>0</v>
      </c>
      <c r="F9" s="14" t="n">
        <f aca="false">SUM(Assumptions!$C$32:F$32)</f>
        <v>0</v>
      </c>
      <c r="G9" s="14" t="n">
        <f aca="false">SUM(Assumptions!$C$32:G$32)</f>
        <v>0</v>
      </c>
      <c r="H9" s="14" t="n">
        <f aca="false">SUM(Assumptions!$C$32:H$32)</f>
        <v>2</v>
      </c>
      <c r="I9" s="14" t="n">
        <f aca="false">SUM(Assumptions!$C$32:I$32)</f>
        <v>5</v>
      </c>
      <c r="J9" s="14" t="n">
        <f aca="false">SUM(Assumptions!$C$32:J$32)</f>
        <v>5</v>
      </c>
      <c r="K9" s="14" t="n">
        <f aca="false">SUM(Assumptions!$C$32:J$32)</f>
        <v>5</v>
      </c>
      <c r="L9" s="14" t="n">
        <f aca="false">SUM(Assumptions!$C$32:J$32)</f>
        <v>5</v>
      </c>
      <c r="M9" s="14" t="n">
        <f aca="false">SUM(Assumptions!$C$32:J$32)</f>
        <v>5</v>
      </c>
      <c r="N9" s="14" t="n">
        <f aca="false">SUM(Assumptions!$C$32:J$32)</f>
        <v>5</v>
      </c>
      <c r="O9" s="14" t="n">
        <f aca="false">SUM(Assumptions!$C$32:J$32)</f>
        <v>5</v>
      </c>
      <c r="P9" s="14" t="n">
        <f aca="false">SUM(Assumptions!$C$32:J$32)</f>
        <v>5</v>
      </c>
      <c r="Q9" s="14" t="n">
        <f aca="false">SUM(Assumptions!$C$32:J$32)</f>
        <v>5</v>
      </c>
      <c r="R9" s="14" t="n">
        <f aca="false">SUM(Assumptions!$C$32:J$32)</f>
        <v>5</v>
      </c>
      <c r="S9" s="14" t="n">
        <f aca="false">SUM(Assumptions!$C$32:J$32)</f>
        <v>5</v>
      </c>
      <c r="T9" s="14" t="n">
        <f aca="false">SUM(Assumptions!$C$32:J$32)</f>
        <v>5</v>
      </c>
      <c r="U9" s="14" t="n">
        <f aca="false">SUM(Assumptions!$C$32:J$32)</f>
        <v>5</v>
      </c>
      <c r="V9" s="14" t="n">
        <f aca="false">SUM(Assumptions!$C$32:J$32)</f>
        <v>5</v>
      </c>
    </row>
    <row r="10" customFormat="false" ht="15" hidden="false" customHeight="false" outlineLevel="0" collapsed="false">
      <c r="B10" s="13" t="s">
        <v>47</v>
      </c>
      <c r="C10" s="14" t="n">
        <f aca="false">SUM(Assumptions!$C$33:C$33)</f>
        <v>0</v>
      </c>
      <c r="D10" s="14" t="n">
        <f aca="false">SUM(Assumptions!$C$33:D$33)</f>
        <v>0</v>
      </c>
      <c r="E10" s="14" t="n">
        <f aca="false">SUM(Assumptions!$C$33:E$33)</f>
        <v>0</v>
      </c>
      <c r="F10" s="14" t="n">
        <f aca="false">SUM(Assumptions!$C$33:F$33)</f>
        <v>0</v>
      </c>
      <c r="G10" s="14" t="n">
        <f aca="false">SUM(Assumptions!$C$33:G$33)</f>
        <v>0</v>
      </c>
      <c r="H10" s="14" t="n">
        <f aca="false">SUM(Assumptions!$C$33:H$33)</f>
        <v>0</v>
      </c>
      <c r="I10" s="14" t="n">
        <f aca="false">SUM(Assumptions!$C$33:I$33)</f>
        <v>2</v>
      </c>
      <c r="J10" s="14" t="n">
        <f aca="false">SUM(Assumptions!$C$33:J$33)</f>
        <v>3</v>
      </c>
      <c r="K10" s="14" t="n">
        <f aca="false">SUM(Assumptions!$C$33:J$33)</f>
        <v>3</v>
      </c>
      <c r="L10" s="14" t="n">
        <f aca="false">SUM(Assumptions!$C$33:J$33)</f>
        <v>3</v>
      </c>
      <c r="M10" s="14" t="n">
        <f aca="false">SUM(Assumptions!$C$33:J$33)</f>
        <v>3</v>
      </c>
      <c r="N10" s="14" t="n">
        <f aca="false">SUM(Assumptions!$C$33:J$33)</f>
        <v>3</v>
      </c>
      <c r="O10" s="14" t="n">
        <f aca="false">SUM(Assumptions!$C$33:J$33)</f>
        <v>3</v>
      </c>
      <c r="P10" s="14" t="n">
        <f aca="false">SUM(Assumptions!$C$33:J$33)</f>
        <v>3</v>
      </c>
      <c r="Q10" s="14" t="n">
        <f aca="false">SUM(Assumptions!$C$33:J$33)</f>
        <v>3</v>
      </c>
      <c r="R10" s="14" t="n">
        <f aca="false">SUM(Assumptions!$C$33:J$33)</f>
        <v>3</v>
      </c>
      <c r="S10" s="14" t="n">
        <f aca="false">SUM(Assumptions!$C$33:J$33)</f>
        <v>3</v>
      </c>
      <c r="T10" s="14" t="n">
        <f aca="false">SUM(Assumptions!$C$33:J$33)</f>
        <v>3</v>
      </c>
      <c r="U10" s="14" t="n">
        <f aca="false">SUM(Assumptions!$C$33:J$33)</f>
        <v>3</v>
      </c>
      <c r="V10" s="14" t="n">
        <f aca="false">SUM(Assumptions!$C$33:J$33)</f>
        <v>3</v>
      </c>
    </row>
    <row r="11" customFormat="false" ht="15" hidden="false" customHeight="false" outlineLevel="0" collapsed="false">
      <c r="B11" s="13" t="s">
        <v>48</v>
      </c>
      <c r="C11" s="14" t="n">
        <f aca="false">SUM(Assumptions!$C$34:C$34)</f>
        <v>0</v>
      </c>
      <c r="D11" s="14" t="n">
        <f aca="false">SUM(Assumptions!$C$34:D$34)</f>
        <v>0</v>
      </c>
      <c r="E11" s="14" t="n">
        <f aca="false">SUM(Assumptions!$C$34:E$34)</f>
        <v>0</v>
      </c>
      <c r="F11" s="14" t="n">
        <f aca="false">SUM(Assumptions!$C$34:F$34)</f>
        <v>0</v>
      </c>
      <c r="G11" s="14" t="n">
        <f aca="false">SUM(Assumptions!$C$34:G$34)</f>
        <v>0</v>
      </c>
      <c r="H11" s="14" t="n">
        <f aca="false">SUM(Assumptions!$C$34:H$34)</f>
        <v>0</v>
      </c>
      <c r="I11" s="14" t="n">
        <f aca="false">SUM(Assumptions!$C$34:I$34)</f>
        <v>0</v>
      </c>
      <c r="J11" s="14" t="n">
        <f aca="false">SUM(Assumptions!$C$34:J$34)</f>
        <v>2</v>
      </c>
      <c r="K11" s="14" t="n">
        <f aca="false">SUM(Assumptions!$C$34:J$34)</f>
        <v>2</v>
      </c>
      <c r="L11" s="14" t="n">
        <f aca="false">SUM(Assumptions!$C$34:J$34)</f>
        <v>2</v>
      </c>
      <c r="M11" s="14" t="n">
        <f aca="false">SUM(Assumptions!$C$34:J$34)</f>
        <v>2</v>
      </c>
      <c r="N11" s="14" t="n">
        <f aca="false">SUM(Assumptions!$C$34:J$34)</f>
        <v>2</v>
      </c>
      <c r="O11" s="14" t="n">
        <f aca="false">SUM(Assumptions!$C$34:J$34)</f>
        <v>2</v>
      </c>
      <c r="P11" s="14" t="n">
        <f aca="false">SUM(Assumptions!$C$34:J$34)</f>
        <v>2</v>
      </c>
      <c r="Q11" s="14" t="n">
        <f aca="false">SUM(Assumptions!$C$34:J$34)</f>
        <v>2</v>
      </c>
      <c r="R11" s="14" t="n">
        <f aca="false">SUM(Assumptions!$C$34:J$34)</f>
        <v>2</v>
      </c>
      <c r="S11" s="14" t="n">
        <f aca="false">SUM(Assumptions!$C$34:J$34)</f>
        <v>2</v>
      </c>
      <c r="T11" s="14" t="n">
        <f aca="false">SUM(Assumptions!$C$34:J$34)</f>
        <v>2</v>
      </c>
      <c r="U11" s="14" t="n">
        <f aca="false">SUM(Assumptions!$C$34:J$34)</f>
        <v>2</v>
      </c>
      <c r="V11" s="14" t="n">
        <f aca="false">SUM(Assumptions!$C$34:J$34)</f>
        <v>2</v>
      </c>
    </row>
    <row r="13" customFormat="false" ht="15" hidden="false" customHeight="false" outlineLevel="0" collapsed="false">
      <c r="B13" s="1" t="s">
        <v>391</v>
      </c>
    </row>
    <row r="14" customFormat="false" ht="15" hidden="false" customHeight="false" outlineLevel="0" collapsed="false">
      <c r="B14" s="10" t="s">
        <v>44</v>
      </c>
      <c r="C14" s="6" t="n">
        <f aca="false">IF(1=Assumptions!$C$39,Assumptions!$C$14*Assumptions!$C$24,0)+IF(1=Assumptions!$C$40,Assumptions!$C$14*Assumptions!$C$25,0)+IF(1=Assumptions!$C$40+4,Assumptions!$C$14*Assumptions!$C$26,0)</f>
        <v>0</v>
      </c>
      <c r="D14" s="6" t="n">
        <f aca="false">IF(2=Assumptions!$C$39,Assumptions!$C$14*Assumptions!$C$24,0)+IF(2=Assumptions!$C$40,Assumptions!$C$14*Assumptions!$C$25,0)+IF(2=Assumptions!$C$40+4,Assumptions!$C$14*Assumptions!$C$26,0)</f>
        <v>840000</v>
      </c>
      <c r="E14" s="6" t="n">
        <f aca="false">IF(3=Assumptions!$C$39,Assumptions!$C$14*Assumptions!$C$24,0)+IF(3=Assumptions!$C$40,Assumptions!$C$14*Assumptions!$C$25,0)+IF(3=Assumptions!$C$40+4,Assumptions!$C$14*Assumptions!$C$26,0)</f>
        <v>0</v>
      </c>
      <c r="F14" s="6" t="n">
        <f aca="false">IF(4=Assumptions!$C$39,Assumptions!$C$14*Assumptions!$C$24,0)+IF(4=Assumptions!$C$40,Assumptions!$C$14*Assumptions!$C$25,0)+IF(4=Assumptions!$C$40+4,Assumptions!$C$14*Assumptions!$C$26,0)</f>
        <v>735000</v>
      </c>
      <c r="G14" s="6" t="n">
        <f aca="false">IF(5=Assumptions!$C$39,Assumptions!$C$14*Assumptions!$C$24,0)+IF(5=Assumptions!$C$40,Assumptions!$C$14*Assumptions!$C$25,0)+IF(5=Assumptions!$C$40+4,Assumptions!$C$14*Assumptions!$C$26,0)</f>
        <v>0</v>
      </c>
      <c r="H14" s="6" t="n">
        <f aca="false">IF(6=Assumptions!$C$39,Assumptions!$C$14*Assumptions!$C$24,0)+IF(6=Assumptions!$C$40,Assumptions!$C$14*Assumptions!$C$25,0)+IF(6=Assumptions!$C$40+4,Assumptions!$C$14*Assumptions!$C$26,0)</f>
        <v>0</v>
      </c>
      <c r="I14" s="6" t="n">
        <f aca="false">IF(7=Assumptions!$C$39,Assumptions!$C$14*Assumptions!$C$24,0)+IF(7=Assumptions!$C$40,Assumptions!$C$14*Assumptions!$C$25,0)+IF(7=Assumptions!$C$40+4,Assumptions!$C$14*Assumptions!$C$26,0)</f>
        <v>0</v>
      </c>
      <c r="J14" s="6" t="n">
        <f aca="false">IF(8=Assumptions!$C$39,Assumptions!$C$14*Assumptions!$C$24,0)+IF(8=Assumptions!$C$40,Assumptions!$C$14*Assumptions!$C$25,0)+IF(8=Assumptions!$C$40+4,Assumptions!$C$14*Assumptions!$C$26,0)</f>
        <v>525000</v>
      </c>
      <c r="K14" s="6" t="n">
        <f aca="false">IF(9=Assumptions!$C$39,Assumptions!$C$14*Assumptions!$C$24,0)+IF(9=Assumptions!$C$40,Assumptions!$C$14*Assumptions!$C$25,0)+IF(9=Assumptions!$C$40+4,Assumptions!$C$14*Assumptions!$C$26,0)</f>
        <v>0</v>
      </c>
      <c r="L14" s="6" t="n">
        <f aca="false">IF(10=Assumptions!$C$39,Assumptions!$C$14*Assumptions!$C$24,0)+IF(10=Assumptions!$C$40,Assumptions!$C$14*Assumptions!$C$25,0)+IF(10=Assumptions!$C$40+4,Assumptions!$C$14*Assumptions!$C$26,0)</f>
        <v>0</v>
      </c>
      <c r="M14" s="6" t="n">
        <f aca="false">IF(11=Assumptions!$C$39,Assumptions!$C$14*Assumptions!$C$24,0)+IF(11=Assumptions!$C$40,Assumptions!$C$14*Assumptions!$C$25,0)+IF(11=Assumptions!$C$40+4,Assumptions!$C$14*Assumptions!$C$26,0)</f>
        <v>0</v>
      </c>
      <c r="N14" s="6" t="n">
        <f aca="false">IF(12=Assumptions!$C$39,Assumptions!$C$14*Assumptions!$C$24,0)+IF(12=Assumptions!$C$40,Assumptions!$C$14*Assumptions!$C$25,0)+IF(12=Assumptions!$C$40+4,Assumptions!$C$14*Assumptions!$C$26,0)</f>
        <v>0</v>
      </c>
      <c r="O14" s="6" t="n">
        <f aca="false">IF(13=Assumptions!$C$39,Assumptions!$C$14*Assumptions!$C$24,0)+IF(13=Assumptions!$C$40,Assumptions!$C$14*Assumptions!$C$25,0)+IF(13=Assumptions!$C$40+4,Assumptions!$C$14*Assumptions!$C$26,0)</f>
        <v>0</v>
      </c>
      <c r="P14" s="6" t="n">
        <f aca="false">IF(14=Assumptions!$C$39,Assumptions!$C$14*Assumptions!$C$24,0)+IF(14=Assumptions!$C$40,Assumptions!$C$14*Assumptions!$C$25,0)+IF(14=Assumptions!$C$40+4,Assumptions!$C$14*Assumptions!$C$26,0)</f>
        <v>0</v>
      </c>
      <c r="Q14" s="6" t="n">
        <f aca="false">IF(15=Assumptions!$C$39,Assumptions!$C$14*Assumptions!$C$24,0)+IF(15=Assumptions!$C$40,Assumptions!$C$14*Assumptions!$C$25,0)+IF(15=Assumptions!$C$40+4,Assumptions!$C$14*Assumptions!$C$26,0)</f>
        <v>0</v>
      </c>
      <c r="R14" s="6" t="n">
        <f aca="false">IF(16=Assumptions!$C$39,Assumptions!$C$14*Assumptions!$C$24,0)+IF(16=Assumptions!$C$40,Assumptions!$C$14*Assumptions!$C$25,0)+IF(16=Assumptions!$C$40+4,Assumptions!$C$14*Assumptions!$C$26,0)</f>
        <v>0</v>
      </c>
      <c r="S14" s="6" t="n">
        <f aca="false">IF(17=Assumptions!$C$39,Assumptions!$C$14*Assumptions!$C$24,0)+IF(17=Assumptions!$C$40,Assumptions!$C$14*Assumptions!$C$25,0)+IF(17=Assumptions!$C$40+4,Assumptions!$C$14*Assumptions!$C$26,0)</f>
        <v>0</v>
      </c>
      <c r="T14" s="6" t="n">
        <f aca="false">IF(18=Assumptions!$C$39,Assumptions!$C$14*Assumptions!$C$24,0)+IF(18=Assumptions!$C$40,Assumptions!$C$14*Assumptions!$C$25,0)+IF(18=Assumptions!$C$40+4,Assumptions!$C$14*Assumptions!$C$26,0)</f>
        <v>0</v>
      </c>
      <c r="U14" s="6" t="n">
        <f aca="false">IF(19=Assumptions!$C$39,Assumptions!$C$14*Assumptions!$C$24,0)+IF(19=Assumptions!$C$40,Assumptions!$C$14*Assumptions!$C$25,0)+IF(19=Assumptions!$C$40+4,Assumptions!$C$14*Assumptions!$C$26,0)</f>
        <v>0</v>
      </c>
      <c r="V14" s="6" t="n">
        <f aca="false">IF(20=Assumptions!$C$39,Assumptions!$C$14*Assumptions!$C$24,0)+IF(20=Assumptions!$C$40,Assumptions!$C$14*Assumptions!$C$25,0)+IF(20=Assumptions!$C$40+4,Assumptions!$C$14*Assumptions!$C$26,0)</f>
        <v>0</v>
      </c>
    </row>
    <row r="16" customFormat="false" ht="15" hidden="false" customHeight="false" outlineLevel="0" collapsed="false">
      <c r="B16" s="10" t="s">
        <v>45</v>
      </c>
      <c r="C16" s="6" t="n">
        <f aca="false">IF(1=Assumptions!$D$39,Assumptions!$D$14*Assumptions!$C$24,0)+IF(1=Assumptions!$D$40,Assumptions!$D$14*Assumptions!$C$25,0)+IF(1=Assumptions!$D$40+4,Assumptions!$D$14*Assumptions!$C$26,0)</f>
        <v>0</v>
      </c>
      <c r="D16" s="6" t="n">
        <f aca="false">IF(2=Assumptions!$D$39,Assumptions!$D$14*Assumptions!$C$24,0)+IF(2=Assumptions!$D$40,Assumptions!$D$14*Assumptions!$C$25,0)+IF(2=Assumptions!$D$40+4,Assumptions!$D$14*Assumptions!$C$26,0)</f>
        <v>0</v>
      </c>
      <c r="E16" s="6" t="n">
        <f aca="false">IF(3=Assumptions!$D$39,Assumptions!$D$14*Assumptions!$C$24,0)+IF(3=Assumptions!$D$40,Assumptions!$D$14*Assumptions!$C$25,0)+IF(3=Assumptions!$D$40+4,Assumptions!$D$14*Assumptions!$C$26,0)</f>
        <v>560000</v>
      </c>
      <c r="F16" s="6" t="n">
        <f aca="false">IF(4=Assumptions!$D$39,Assumptions!$D$14*Assumptions!$C$24,0)+IF(4=Assumptions!$D$40,Assumptions!$D$14*Assumptions!$C$25,0)+IF(4=Assumptions!$D$40+4,Assumptions!$D$14*Assumptions!$C$26,0)</f>
        <v>0</v>
      </c>
      <c r="G16" s="6" t="n">
        <f aca="false">IF(5=Assumptions!$D$39,Assumptions!$D$14*Assumptions!$C$24,0)+IF(5=Assumptions!$D$40,Assumptions!$D$14*Assumptions!$C$25,0)+IF(5=Assumptions!$D$40+4,Assumptions!$D$14*Assumptions!$C$26,0)</f>
        <v>490000</v>
      </c>
      <c r="H16" s="6" t="n">
        <f aca="false">IF(6=Assumptions!$D$39,Assumptions!$D$14*Assumptions!$C$24,0)+IF(6=Assumptions!$D$40,Assumptions!$D$14*Assumptions!$C$25,0)+IF(6=Assumptions!$D$40+4,Assumptions!$D$14*Assumptions!$C$26,0)</f>
        <v>0</v>
      </c>
      <c r="I16" s="6" t="n">
        <f aca="false">IF(7=Assumptions!$D$39,Assumptions!$D$14*Assumptions!$C$24,0)+IF(7=Assumptions!$D$40,Assumptions!$D$14*Assumptions!$C$25,0)+IF(7=Assumptions!$D$40+4,Assumptions!$D$14*Assumptions!$C$26,0)</f>
        <v>0</v>
      </c>
      <c r="J16" s="6" t="n">
        <f aca="false">IF(8=Assumptions!$D$39,Assumptions!$D$14*Assumptions!$C$24,0)+IF(8=Assumptions!$D$40,Assumptions!$D$14*Assumptions!$C$25,0)+IF(8=Assumptions!$D$40+4,Assumptions!$D$14*Assumptions!$C$26,0)</f>
        <v>0</v>
      </c>
      <c r="K16" s="6" t="n">
        <f aca="false">IF(9=Assumptions!$D$39,Assumptions!$D$14*Assumptions!$C$24,0)+IF(9=Assumptions!$D$40,Assumptions!$D$14*Assumptions!$C$25,0)+IF(9=Assumptions!$D$40+4,Assumptions!$D$14*Assumptions!$C$26,0)</f>
        <v>350000</v>
      </c>
      <c r="L16" s="6" t="n">
        <f aca="false">IF(10=Assumptions!$D$39,Assumptions!$D$14*Assumptions!$C$24,0)+IF(10=Assumptions!$D$40,Assumptions!$D$14*Assumptions!$C$25,0)+IF(10=Assumptions!$D$40+4,Assumptions!$D$14*Assumptions!$C$26,0)</f>
        <v>0</v>
      </c>
      <c r="M16" s="6" t="n">
        <f aca="false">IF(11=Assumptions!$D$39,Assumptions!$D$14*Assumptions!$C$24,0)+IF(11=Assumptions!$D$40,Assumptions!$D$14*Assumptions!$C$25,0)+IF(11=Assumptions!$D$40+4,Assumptions!$D$14*Assumptions!$C$26,0)</f>
        <v>0</v>
      </c>
      <c r="N16" s="6" t="n">
        <f aca="false">IF(12=Assumptions!$D$39,Assumptions!$D$14*Assumptions!$C$24,0)+IF(12=Assumptions!$D$40,Assumptions!$D$14*Assumptions!$C$25,0)+IF(12=Assumptions!$D$40+4,Assumptions!$D$14*Assumptions!$C$26,0)</f>
        <v>0</v>
      </c>
      <c r="O16" s="6" t="n">
        <f aca="false">IF(13=Assumptions!$D$39,Assumptions!$D$14*Assumptions!$C$24,0)+IF(13=Assumptions!$D$40,Assumptions!$D$14*Assumptions!$C$25,0)+IF(13=Assumptions!$D$40+4,Assumptions!$D$14*Assumptions!$C$26,0)</f>
        <v>0</v>
      </c>
      <c r="P16" s="6" t="n">
        <f aca="false">IF(14=Assumptions!$D$39,Assumptions!$D$14*Assumptions!$C$24,0)+IF(14=Assumptions!$D$40,Assumptions!$D$14*Assumptions!$C$25,0)+IF(14=Assumptions!$D$40+4,Assumptions!$D$14*Assumptions!$C$26,0)</f>
        <v>0</v>
      </c>
      <c r="Q16" s="6" t="n">
        <f aca="false">IF(15=Assumptions!$D$39,Assumptions!$D$14*Assumptions!$C$24,0)+IF(15=Assumptions!$D$40,Assumptions!$D$14*Assumptions!$C$25,0)+IF(15=Assumptions!$D$40+4,Assumptions!$D$14*Assumptions!$C$26,0)</f>
        <v>0</v>
      </c>
      <c r="R16" s="6" t="n">
        <f aca="false">IF(16=Assumptions!$D$39,Assumptions!$D$14*Assumptions!$C$24,0)+IF(16=Assumptions!$D$40,Assumptions!$D$14*Assumptions!$C$25,0)+IF(16=Assumptions!$D$40+4,Assumptions!$D$14*Assumptions!$C$26,0)</f>
        <v>0</v>
      </c>
      <c r="S16" s="6" t="n">
        <f aca="false">IF(17=Assumptions!$D$39,Assumptions!$D$14*Assumptions!$C$24,0)+IF(17=Assumptions!$D$40,Assumptions!$D$14*Assumptions!$C$25,0)+IF(17=Assumptions!$D$40+4,Assumptions!$D$14*Assumptions!$C$26,0)</f>
        <v>0</v>
      </c>
      <c r="T16" s="6" t="n">
        <f aca="false">IF(18=Assumptions!$D$39,Assumptions!$D$14*Assumptions!$C$24,0)+IF(18=Assumptions!$D$40,Assumptions!$D$14*Assumptions!$C$25,0)+IF(18=Assumptions!$D$40+4,Assumptions!$D$14*Assumptions!$C$26,0)</f>
        <v>0</v>
      </c>
      <c r="U16" s="6" t="n">
        <f aca="false">IF(19=Assumptions!$D$39,Assumptions!$D$14*Assumptions!$C$24,0)+IF(19=Assumptions!$D$40,Assumptions!$D$14*Assumptions!$C$25,0)+IF(19=Assumptions!$D$40+4,Assumptions!$D$14*Assumptions!$C$26,0)</f>
        <v>0</v>
      </c>
      <c r="V16" s="6" t="n">
        <f aca="false">IF(20=Assumptions!$D$39,Assumptions!$D$14*Assumptions!$C$24,0)+IF(20=Assumptions!$D$40,Assumptions!$D$14*Assumptions!$C$25,0)+IF(20=Assumptions!$D$40+4,Assumptions!$D$14*Assumptions!$C$26,0)</f>
        <v>0</v>
      </c>
    </row>
    <row r="18" customFormat="false" ht="15" hidden="false" customHeight="false" outlineLevel="0" collapsed="false">
      <c r="B18" s="10" t="s">
        <v>46</v>
      </c>
      <c r="C18" s="6" t="n">
        <f aca="false">IF(1=Assumptions!$E$39,Assumptions!$E$14*Assumptions!$C$24,0)+IF(1=Assumptions!$E$40,Assumptions!$E$14*Assumptions!$C$25,0)+IF(1=Assumptions!$E$40+4,Assumptions!$E$14*Assumptions!$C$26,0)</f>
        <v>0</v>
      </c>
      <c r="D18" s="6" t="n">
        <f aca="false">IF(2=Assumptions!$E$39,Assumptions!$E$14*Assumptions!$C$24,0)+IF(2=Assumptions!$E$40,Assumptions!$E$14*Assumptions!$C$25,0)+IF(2=Assumptions!$E$40+4,Assumptions!$E$14*Assumptions!$C$26,0)</f>
        <v>0</v>
      </c>
      <c r="E18" s="6" t="n">
        <f aca="false">IF(3=Assumptions!$E$39,Assumptions!$E$14*Assumptions!$C$24,0)+IF(3=Assumptions!$E$40,Assumptions!$E$14*Assumptions!$C$25,0)+IF(3=Assumptions!$E$40+4,Assumptions!$E$14*Assumptions!$C$26,0)</f>
        <v>0</v>
      </c>
      <c r="F18" s="6" t="n">
        <f aca="false">IF(4=Assumptions!$E$39,Assumptions!$E$14*Assumptions!$C$24,0)+IF(4=Assumptions!$E$40,Assumptions!$E$14*Assumptions!$C$25,0)+IF(4=Assumptions!$E$40+4,Assumptions!$E$14*Assumptions!$C$26,0)</f>
        <v>700000</v>
      </c>
      <c r="G18" s="6" t="n">
        <f aca="false">IF(5=Assumptions!$E$39,Assumptions!$E$14*Assumptions!$C$24,0)+IF(5=Assumptions!$E$40,Assumptions!$E$14*Assumptions!$C$25,0)+IF(5=Assumptions!$E$40+4,Assumptions!$E$14*Assumptions!$C$26,0)</f>
        <v>0</v>
      </c>
      <c r="H18" s="6" t="n">
        <f aca="false">IF(6=Assumptions!$E$39,Assumptions!$E$14*Assumptions!$C$24,0)+IF(6=Assumptions!$E$40,Assumptions!$E$14*Assumptions!$C$25,0)+IF(6=Assumptions!$E$40+4,Assumptions!$E$14*Assumptions!$C$26,0)</f>
        <v>612500</v>
      </c>
      <c r="I18" s="6" t="n">
        <f aca="false">IF(7=Assumptions!$E$39,Assumptions!$E$14*Assumptions!$C$24,0)+IF(7=Assumptions!$E$40,Assumptions!$E$14*Assumptions!$C$25,0)+IF(7=Assumptions!$E$40+4,Assumptions!$E$14*Assumptions!$C$26,0)</f>
        <v>0</v>
      </c>
      <c r="J18" s="6" t="n">
        <f aca="false">IF(8=Assumptions!$E$39,Assumptions!$E$14*Assumptions!$C$24,0)+IF(8=Assumptions!$E$40,Assumptions!$E$14*Assumptions!$C$25,0)+IF(8=Assumptions!$E$40+4,Assumptions!$E$14*Assumptions!$C$26,0)</f>
        <v>0</v>
      </c>
      <c r="K18" s="6" t="n">
        <f aca="false">IF(9=Assumptions!$E$39,Assumptions!$E$14*Assumptions!$C$24,0)+IF(9=Assumptions!$E$40,Assumptions!$E$14*Assumptions!$C$25,0)+IF(9=Assumptions!$E$40+4,Assumptions!$E$14*Assumptions!$C$26,0)</f>
        <v>0</v>
      </c>
      <c r="L18" s="6" t="n">
        <f aca="false">IF(10=Assumptions!$E$39,Assumptions!$E$14*Assumptions!$C$24,0)+IF(10=Assumptions!$E$40,Assumptions!$E$14*Assumptions!$C$25,0)+IF(10=Assumptions!$E$40+4,Assumptions!$E$14*Assumptions!$C$26,0)</f>
        <v>437500</v>
      </c>
      <c r="M18" s="6" t="n">
        <f aca="false">IF(11=Assumptions!$E$39,Assumptions!$E$14*Assumptions!$C$24,0)+IF(11=Assumptions!$E$40,Assumptions!$E$14*Assumptions!$C$25,0)+IF(11=Assumptions!$E$40+4,Assumptions!$E$14*Assumptions!$C$26,0)</f>
        <v>0</v>
      </c>
      <c r="N18" s="6" t="n">
        <f aca="false">IF(12=Assumptions!$E$39,Assumptions!$E$14*Assumptions!$C$24,0)+IF(12=Assumptions!$E$40,Assumptions!$E$14*Assumptions!$C$25,0)+IF(12=Assumptions!$E$40+4,Assumptions!$E$14*Assumptions!$C$26,0)</f>
        <v>0</v>
      </c>
      <c r="O18" s="6" t="n">
        <f aca="false">IF(13=Assumptions!$E$39,Assumptions!$E$14*Assumptions!$C$24,0)+IF(13=Assumptions!$E$40,Assumptions!$E$14*Assumptions!$C$25,0)+IF(13=Assumptions!$E$40+4,Assumptions!$E$14*Assumptions!$C$26,0)</f>
        <v>0</v>
      </c>
      <c r="P18" s="6" t="n">
        <f aca="false">IF(14=Assumptions!$E$39,Assumptions!$E$14*Assumptions!$C$24,0)+IF(14=Assumptions!$E$40,Assumptions!$E$14*Assumptions!$C$25,0)+IF(14=Assumptions!$E$40+4,Assumptions!$E$14*Assumptions!$C$26,0)</f>
        <v>0</v>
      </c>
      <c r="Q18" s="6" t="n">
        <f aca="false">IF(15=Assumptions!$E$39,Assumptions!$E$14*Assumptions!$C$24,0)+IF(15=Assumptions!$E$40,Assumptions!$E$14*Assumptions!$C$25,0)+IF(15=Assumptions!$E$40+4,Assumptions!$E$14*Assumptions!$C$26,0)</f>
        <v>0</v>
      </c>
      <c r="R18" s="6" t="n">
        <f aca="false">IF(16=Assumptions!$E$39,Assumptions!$E$14*Assumptions!$C$24,0)+IF(16=Assumptions!$E$40,Assumptions!$E$14*Assumptions!$C$25,0)+IF(16=Assumptions!$E$40+4,Assumptions!$E$14*Assumptions!$C$26,0)</f>
        <v>0</v>
      </c>
      <c r="S18" s="6" t="n">
        <f aca="false">IF(17=Assumptions!$E$39,Assumptions!$E$14*Assumptions!$C$24,0)+IF(17=Assumptions!$E$40,Assumptions!$E$14*Assumptions!$C$25,0)+IF(17=Assumptions!$E$40+4,Assumptions!$E$14*Assumptions!$C$26,0)</f>
        <v>0</v>
      </c>
      <c r="T18" s="6" t="n">
        <f aca="false">IF(18=Assumptions!$E$39,Assumptions!$E$14*Assumptions!$C$24,0)+IF(18=Assumptions!$E$40,Assumptions!$E$14*Assumptions!$C$25,0)+IF(18=Assumptions!$E$40+4,Assumptions!$E$14*Assumptions!$C$26,0)</f>
        <v>0</v>
      </c>
      <c r="U18" s="6" t="n">
        <f aca="false">IF(19=Assumptions!$E$39,Assumptions!$E$14*Assumptions!$C$24,0)+IF(19=Assumptions!$E$40,Assumptions!$E$14*Assumptions!$C$25,0)+IF(19=Assumptions!$E$40+4,Assumptions!$E$14*Assumptions!$C$26,0)</f>
        <v>0</v>
      </c>
      <c r="V18" s="6" t="n">
        <f aca="false">IF(20=Assumptions!$E$39,Assumptions!$E$14*Assumptions!$C$24,0)+IF(20=Assumptions!$E$40,Assumptions!$E$14*Assumptions!$C$25,0)+IF(20=Assumptions!$E$40+4,Assumptions!$E$14*Assumptions!$C$26,0)</f>
        <v>0</v>
      </c>
    </row>
    <row r="20" customFormat="false" ht="15" hidden="false" customHeight="false" outlineLevel="0" collapsed="false">
      <c r="B20" s="10" t="s">
        <v>47</v>
      </c>
      <c r="C20" s="6" t="n">
        <f aca="false">IF(1=Assumptions!$F$39,Assumptions!$F$14*Assumptions!$C$24,0)+IF(1=Assumptions!$F$40,Assumptions!$F$14*Assumptions!$C$25,0)+IF(1=Assumptions!$F$40+4,Assumptions!$F$14*Assumptions!$C$26,0)</f>
        <v>0</v>
      </c>
      <c r="D20" s="6" t="n">
        <f aca="false">IF(2=Assumptions!$F$39,Assumptions!$F$14*Assumptions!$C$24,0)+IF(2=Assumptions!$F$40,Assumptions!$F$14*Assumptions!$C$25,0)+IF(2=Assumptions!$F$40+4,Assumptions!$F$14*Assumptions!$C$26,0)</f>
        <v>0</v>
      </c>
      <c r="E20" s="6" t="n">
        <f aca="false">IF(3=Assumptions!$F$39,Assumptions!$F$14*Assumptions!$C$24,0)+IF(3=Assumptions!$F$40,Assumptions!$F$14*Assumptions!$C$25,0)+IF(3=Assumptions!$F$40+4,Assumptions!$F$14*Assumptions!$C$26,0)</f>
        <v>0</v>
      </c>
      <c r="F20" s="6" t="n">
        <f aca="false">IF(4=Assumptions!$F$39,Assumptions!$F$14*Assumptions!$C$24,0)+IF(4=Assumptions!$F$40,Assumptions!$F$14*Assumptions!$C$25,0)+IF(4=Assumptions!$F$40+4,Assumptions!$F$14*Assumptions!$C$26,0)</f>
        <v>0</v>
      </c>
      <c r="G20" s="6" t="n">
        <f aca="false">IF(5=Assumptions!$F$39,Assumptions!$F$14*Assumptions!$C$24,0)+IF(5=Assumptions!$F$40,Assumptions!$F$14*Assumptions!$C$25,0)+IF(5=Assumptions!$F$40+4,Assumptions!$F$14*Assumptions!$C$26,0)</f>
        <v>420000</v>
      </c>
      <c r="H20" s="6" t="n">
        <f aca="false">IF(6=Assumptions!$F$39,Assumptions!$F$14*Assumptions!$C$24,0)+IF(6=Assumptions!$F$40,Assumptions!$F$14*Assumptions!$C$25,0)+IF(6=Assumptions!$F$40+4,Assumptions!$F$14*Assumptions!$C$26,0)</f>
        <v>0</v>
      </c>
      <c r="I20" s="6" t="n">
        <f aca="false">IF(7=Assumptions!$F$39,Assumptions!$F$14*Assumptions!$C$24,0)+IF(7=Assumptions!$F$40,Assumptions!$F$14*Assumptions!$C$25,0)+IF(7=Assumptions!$F$40+4,Assumptions!$F$14*Assumptions!$C$26,0)</f>
        <v>367500</v>
      </c>
      <c r="J20" s="6" t="n">
        <f aca="false">IF(8=Assumptions!$F$39,Assumptions!$F$14*Assumptions!$C$24,0)+IF(8=Assumptions!$F$40,Assumptions!$F$14*Assumptions!$C$25,0)+IF(8=Assumptions!$F$40+4,Assumptions!$F$14*Assumptions!$C$26,0)</f>
        <v>0</v>
      </c>
      <c r="K20" s="6" t="n">
        <f aca="false">IF(9=Assumptions!$F$39,Assumptions!$F$14*Assumptions!$C$24,0)+IF(9=Assumptions!$F$40,Assumptions!$F$14*Assumptions!$C$25,0)+IF(9=Assumptions!$F$40+4,Assumptions!$F$14*Assumptions!$C$26,0)</f>
        <v>0</v>
      </c>
      <c r="L20" s="6" t="n">
        <f aca="false">IF(10=Assumptions!$F$39,Assumptions!$F$14*Assumptions!$C$24,0)+IF(10=Assumptions!$F$40,Assumptions!$F$14*Assumptions!$C$25,0)+IF(10=Assumptions!$F$40+4,Assumptions!$F$14*Assumptions!$C$26,0)</f>
        <v>0</v>
      </c>
      <c r="M20" s="6" t="n">
        <f aca="false">IF(11=Assumptions!$F$39,Assumptions!$F$14*Assumptions!$C$24,0)+IF(11=Assumptions!$F$40,Assumptions!$F$14*Assumptions!$C$25,0)+IF(11=Assumptions!$F$40+4,Assumptions!$F$14*Assumptions!$C$26,0)</f>
        <v>262500</v>
      </c>
      <c r="N20" s="6" t="n">
        <f aca="false">IF(12=Assumptions!$F$39,Assumptions!$F$14*Assumptions!$C$24,0)+IF(12=Assumptions!$F$40,Assumptions!$F$14*Assumptions!$C$25,0)+IF(12=Assumptions!$F$40+4,Assumptions!$F$14*Assumptions!$C$26,0)</f>
        <v>0</v>
      </c>
      <c r="O20" s="6" t="n">
        <f aca="false">IF(13=Assumptions!$F$39,Assumptions!$F$14*Assumptions!$C$24,0)+IF(13=Assumptions!$F$40,Assumptions!$F$14*Assumptions!$C$25,0)+IF(13=Assumptions!$F$40+4,Assumptions!$F$14*Assumptions!$C$26,0)</f>
        <v>0</v>
      </c>
      <c r="P20" s="6" t="n">
        <f aca="false">IF(14=Assumptions!$F$39,Assumptions!$F$14*Assumptions!$C$24,0)+IF(14=Assumptions!$F$40,Assumptions!$F$14*Assumptions!$C$25,0)+IF(14=Assumptions!$F$40+4,Assumptions!$F$14*Assumptions!$C$26,0)</f>
        <v>0</v>
      </c>
      <c r="Q20" s="6" t="n">
        <f aca="false">IF(15=Assumptions!$F$39,Assumptions!$F$14*Assumptions!$C$24,0)+IF(15=Assumptions!$F$40,Assumptions!$F$14*Assumptions!$C$25,0)+IF(15=Assumptions!$F$40+4,Assumptions!$F$14*Assumptions!$C$26,0)</f>
        <v>0</v>
      </c>
      <c r="R20" s="6" t="n">
        <f aca="false">IF(16=Assumptions!$F$39,Assumptions!$F$14*Assumptions!$C$24,0)+IF(16=Assumptions!$F$40,Assumptions!$F$14*Assumptions!$C$25,0)+IF(16=Assumptions!$F$40+4,Assumptions!$F$14*Assumptions!$C$26,0)</f>
        <v>0</v>
      </c>
      <c r="S20" s="6" t="n">
        <f aca="false">IF(17=Assumptions!$F$39,Assumptions!$F$14*Assumptions!$C$24,0)+IF(17=Assumptions!$F$40,Assumptions!$F$14*Assumptions!$C$25,0)+IF(17=Assumptions!$F$40+4,Assumptions!$F$14*Assumptions!$C$26,0)</f>
        <v>0</v>
      </c>
      <c r="T20" s="6" t="n">
        <f aca="false">IF(18=Assumptions!$F$39,Assumptions!$F$14*Assumptions!$C$24,0)+IF(18=Assumptions!$F$40,Assumptions!$F$14*Assumptions!$C$25,0)+IF(18=Assumptions!$F$40+4,Assumptions!$F$14*Assumptions!$C$26,0)</f>
        <v>0</v>
      </c>
      <c r="U20" s="6" t="n">
        <f aca="false">IF(19=Assumptions!$F$39,Assumptions!$F$14*Assumptions!$C$24,0)+IF(19=Assumptions!$F$40,Assumptions!$F$14*Assumptions!$C$25,0)+IF(19=Assumptions!$F$40+4,Assumptions!$F$14*Assumptions!$C$26,0)</f>
        <v>0</v>
      </c>
      <c r="V20" s="6" t="n">
        <f aca="false">IF(20=Assumptions!$F$39,Assumptions!$F$14*Assumptions!$C$24,0)+IF(20=Assumptions!$F$40,Assumptions!$F$14*Assumptions!$C$25,0)+IF(20=Assumptions!$F$40+4,Assumptions!$F$14*Assumptions!$C$26,0)</f>
        <v>0</v>
      </c>
    </row>
    <row r="22" customFormat="false" ht="15" hidden="false" customHeight="false" outlineLevel="0" collapsed="false">
      <c r="B22" s="10" t="s">
        <v>48</v>
      </c>
      <c r="C22" s="6" t="n">
        <f aca="false">IF(1=Assumptions!$G$39,Assumptions!$G$14*Assumptions!$C$24,0)+IF(1=Assumptions!$G$40,Assumptions!$G$14*Assumptions!$C$25,0)+IF(1=Assumptions!$G$40+4,Assumptions!$G$14*Assumptions!$C$26,0)</f>
        <v>0</v>
      </c>
      <c r="D22" s="6" t="n">
        <f aca="false">IF(2=Assumptions!$G$39,Assumptions!$G$14*Assumptions!$C$24,0)+IF(2=Assumptions!$G$40,Assumptions!$G$14*Assumptions!$C$25,0)+IF(2=Assumptions!$G$40+4,Assumptions!$G$14*Assumptions!$C$26,0)</f>
        <v>0</v>
      </c>
      <c r="E22" s="6" t="n">
        <f aca="false">IF(3=Assumptions!$G$39,Assumptions!$G$14*Assumptions!$C$24,0)+IF(3=Assumptions!$G$40,Assumptions!$G$14*Assumptions!$C$25,0)+IF(3=Assumptions!$G$40+4,Assumptions!$G$14*Assumptions!$C$26,0)</f>
        <v>0</v>
      </c>
      <c r="F22" s="6" t="n">
        <f aca="false">IF(4=Assumptions!$G$39,Assumptions!$G$14*Assumptions!$C$24,0)+IF(4=Assumptions!$G$40,Assumptions!$G$14*Assumptions!$C$25,0)+IF(4=Assumptions!$G$40+4,Assumptions!$G$14*Assumptions!$C$26,0)</f>
        <v>0</v>
      </c>
      <c r="G22" s="6" t="n">
        <f aca="false">IF(5=Assumptions!$G$39,Assumptions!$G$14*Assumptions!$C$24,0)+IF(5=Assumptions!$G$40,Assumptions!$G$14*Assumptions!$C$25,0)+IF(5=Assumptions!$G$40+4,Assumptions!$G$14*Assumptions!$C$26,0)</f>
        <v>0</v>
      </c>
      <c r="H22" s="6" t="n">
        <f aca="false">IF(6=Assumptions!$G$39,Assumptions!$G$14*Assumptions!$C$24,0)+IF(6=Assumptions!$G$40,Assumptions!$G$14*Assumptions!$C$25,0)+IF(6=Assumptions!$G$40+4,Assumptions!$G$14*Assumptions!$C$26,0)</f>
        <v>280000</v>
      </c>
      <c r="I22" s="6" t="n">
        <f aca="false">IF(7=Assumptions!$G$39,Assumptions!$G$14*Assumptions!$C$24,0)+IF(7=Assumptions!$G$40,Assumptions!$G$14*Assumptions!$C$25,0)+IF(7=Assumptions!$G$40+4,Assumptions!$G$14*Assumptions!$C$26,0)</f>
        <v>0</v>
      </c>
      <c r="J22" s="6" t="n">
        <f aca="false">IF(8=Assumptions!$G$39,Assumptions!$G$14*Assumptions!$C$24,0)+IF(8=Assumptions!$G$40,Assumptions!$G$14*Assumptions!$C$25,0)+IF(8=Assumptions!$G$40+4,Assumptions!$G$14*Assumptions!$C$26,0)</f>
        <v>245000</v>
      </c>
      <c r="K22" s="6" t="n">
        <f aca="false">IF(9=Assumptions!$G$39,Assumptions!$G$14*Assumptions!$C$24,0)+IF(9=Assumptions!$G$40,Assumptions!$G$14*Assumptions!$C$25,0)+IF(9=Assumptions!$G$40+4,Assumptions!$G$14*Assumptions!$C$26,0)</f>
        <v>0</v>
      </c>
      <c r="L22" s="6" t="n">
        <f aca="false">IF(10=Assumptions!$G$39,Assumptions!$G$14*Assumptions!$C$24,0)+IF(10=Assumptions!$G$40,Assumptions!$G$14*Assumptions!$C$25,0)+IF(10=Assumptions!$G$40+4,Assumptions!$G$14*Assumptions!$C$26,0)</f>
        <v>0</v>
      </c>
      <c r="M22" s="6" t="n">
        <f aca="false">IF(11=Assumptions!$G$39,Assumptions!$G$14*Assumptions!$C$24,0)+IF(11=Assumptions!$G$40,Assumptions!$G$14*Assumptions!$C$25,0)+IF(11=Assumptions!$G$40+4,Assumptions!$G$14*Assumptions!$C$26,0)</f>
        <v>0</v>
      </c>
      <c r="N22" s="6" t="n">
        <f aca="false">IF(12=Assumptions!$G$39,Assumptions!$G$14*Assumptions!$C$24,0)+IF(12=Assumptions!$G$40,Assumptions!$G$14*Assumptions!$C$25,0)+IF(12=Assumptions!$G$40+4,Assumptions!$G$14*Assumptions!$C$26,0)</f>
        <v>175000</v>
      </c>
      <c r="O22" s="6" t="n">
        <f aca="false">IF(13=Assumptions!$G$39,Assumptions!$G$14*Assumptions!$C$24,0)+IF(13=Assumptions!$G$40,Assumptions!$G$14*Assumptions!$C$25,0)+IF(13=Assumptions!$G$40+4,Assumptions!$G$14*Assumptions!$C$26,0)</f>
        <v>0</v>
      </c>
      <c r="P22" s="6" t="n">
        <f aca="false">IF(14=Assumptions!$G$39,Assumptions!$G$14*Assumptions!$C$24,0)+IF(14=Assumptions!$G$40,Assumptions!$G$14*Assumptions!$C$25,0)+IF(14=Assumptions!$G$40+4,Assumptions!$G$14*Assumptions!$C$26,0)</f>
        <v>0</v>
      </c>
      <c r="Q22" s="6" t="n">
        <f aca="false">IF(15=Assumptions!$G$39,Assumptions!$G$14*Assumptions!$C$24,0)+IF(15=Assumptions!$G$40,Assumptions!$G$14*Assumptions!$C$25,0)+IF(15=Assumptions!$G$40+4,Assumptions!$G$14*Assumptions!$C$26,0)</f>
        <v>0</v>
      </c>
      <c r="R22" s="6" t="n">
        <f aca="false">IF(16=Assumptions!$G$39,Assumptions!$G$14*Assumptions!$C$24,0)+IF(16=Assumptions!$G$40,Assumptions!$G$14*Assumptions!$C$25,0)+IF(16=Assumptions!$G$40+4,Assumptions!$G$14*Assumptions!$C$26,0)</f>
        <v>0</v>
      </c>
      <c r="S22" s="6" t="n">
        <f aca="false">IF(17=Assumptions!$G$39,Assumptions!$G$14*Assumptions!$C$24,0)+IF(17=Assumptions!$G$40,Assumptions!$G$14*Assumptions!$C$25,0)+IF(17=Assumptions!$G$40+4,Assumptions!$G$14*Assumptions!$C$26,0)</f>
        <v>0</v>
      </c>
      <c r="T22" s="6" t="n">
        <f aca="false">IF(18=Assumptions!$G$39,Assumptions!$G$14*Assumptions!$C$24,0)+IF(18=Assumptions!$G$40,Assumptions!$G$14*Assumptions!$C$25,0)+IF(18=Assumptions!$G$40+4,Assumptions!$G$14*Assumptions!$C$26,0)</f>
        <v>0</v>
      </c>
      <c r="U22" s="6" t="n">
        <f aca="false">IF(19=Assumptions!$G$39,Assumptions!$G$14*Assumptions!$C$24,0)+IF(19=Assumptions!$G$40,Assumptions!$G$14*Assumptions!$C$25,0)+IF(19=Assumptions!$G$40+4,Assumptions!$G$14*Assumptions!$C$26,0)</f>
        <v>0</v>
      </c>
      <c r="V22" s="6" t="n">
        <f aca="false">IF(20=Assumptions!$G$39,Assumptions!$G$14*Assumptions!$C$24,0)+IF(20=Assumptions!$G$40,Assumptions!$G$14*Assumptions!$C$25,0)+IF(20=Assumptions!$G$40+4,Assumptions!$G$14*Assumptions!$C$26,0)</f>
        <v>0</v>
      </c>
    </row>
    <row r="24" customFormat="false" ht="15" hidden="false" customHeight="false" outlineLevel="0" collapsed="false">
      <c r="B24" s="1" t="s">
        <v>392</v>
      </c>
      <c r="C24" s="21" t="n">
        <f aca="false">C14+C16+C18+C20+C22</f>
        <v>0</v>
      </c>
      <c r="D24" s="21" t="n">
        <f aca="false">D14+D16+D18+D20+D22</f>
        <v>840000</v>
      </c>
      <c r="E24" s="21" t="n">
        <f aca="false">E14+E16+E18+E20+E22</f>
        <v>560000</v>
      </c>
      <c r="F24" s="21" t="n">
        <f aca="false">F14+F16+F18+F20+F22</f>
        <v>1435000</v>
      </c>
      <c r="G24" s="21" t="n">
        <f aca="false">G14+G16+G18+G20+G22</f>
        <v>910000</v>
      </c>
      <c r="H24" s="21" t="n">
        <f aca="false">H14+H16+H18+H20+H22</f>
        <v>892500</v>
      </c>
      <c r="I24" s="21" t="n">
        <f aca="false">I14+I16+I18+I20+I22</f>
        <v>367500</v>
      </c>
      <c r="J24" s="21" t="n">
        <f aca="false">J14+J16+J18+J20+J22</f>
        <v>770000</v>
      </c>
      <c r="K24" s="21" t="n">
        <f aca="false">K14+K16+K18+K20+K22</f>
        <v>350000</v>
      </c>
      <c r="L24" s="21" t="n">
        <f aca="false">L14+L16+L18+L20+L22</f>
        <v>437500</v>
      </c>
      <c r="M24" s="21" t="n">
        <f aca="false">M14+M16+M18+M20+M22</f>
        <v>262500</v>
      </c>
      <c r="N24" s="21" t="n">
        <f aca="false">N14+N16+N18+N20+N22</f>
        <v>175000</v>
      </c>
      <c r="O24" s="21" t="n">
        <f aca="false">O14+O16+O18+O20+O22</f>
        <v>0</v>
      </c>
      <c r="P24" s="21" t="n">
        <f aca="false">P14+P16+P18+P20+P22</f>
        <v>0</v>
      </c>
      <c r="Q24" s="21" t="n">
        <f aca="false">Q14+Q16+Q18+Q20+Q22</f>
        <v>0</v>
      </c>
      <c r="R24" s="21" t="n">
        <f aca="false">R14+R16+R18+R20+R22</f>
        <v>0</v>
      </c>
      <c r="S24" s="21" t="n">
        <f aca="false">S14+S16+S18+S20+S22</f>
        <v>0</v>
      </c>
      <c r="T24" s="21" t="n">
        <f aca="false">T14+T16+T18+T20+T22</f>
        <v>0</v>
      </c>
      <c r="U24" s="21" t="n">
        <f aca="false">U14+U16+U18+U20+U22</f>
        <v>0</v>
      </c>
      <c r="V24" s="21" t="n">
        <f aca="false">V14+V16+V18+V20+V22</f>
        <v>0</v>
      </c>
    </row>
    <row r="26" customFormat="false" ht="15" hidden="false" customHeight="false" outlineLevel="0" collapsed="false">
      <c r="B26" s="1" t="s">
        <v>393</v>
      </c>
    </row>
    <row r="27" customFormat="false" ht="15" hidden="false" customHeight="false" outlineLevel="0" collapsed="false">
      <c r="B27" s="10" t="s">
        <v>44</v>
      </c>
      <c r="C27" s="6" t="n">
        <f aca="false">IF(1=Assumptions!$C$39,Assumptions!$C$10*Assumptions!$C$44+Assumptions!$C$45,0)</f>
        <v>0</v>
      </c>
      <c r="D27" s="6" t="n">
        <f aca="false">IF(2=Assumptions!$C$39,Assumptions!$C$10*Assumptions!$C$44+Assumptions!$C$45,0)</f>
        <v>255000</v>
      </c>
      <c r="E27" s="6" t="n">
        <f aca="false">IF(3=Assumptions!$C$39,Assumptions!$C$10*Assumptions!$C$44+Assumptions!$C$45,0)</f>
        <v>0</v>
      </c>
      <c r="F27" s="6" t="n">
        <f aca="false">IF(4=Assumptions!$C$39,Assumptions!$C$10*Assumptions!$C$44+Assumptions!$C$45,0)</f>
        <v>0</v>
      </c>
      <c r="G27" s="6" t="n">
        <f aca="false">IF(5=Assumptions!$C$39,Assumptions!$C$10*Assumptions!$C$44+Assumptions!$C$45,0)</f>
        <v>0</v>
      </c>
      <c r="H27" s="6" t="n">
        <f aca="false">IF(6=Assumptions!$C$39,Assumptions!$C$10*Assumptions!$C$44+Assumptions!$C$45,0)</f>
        <v>0</v>
      </c>
      <c r="I27" s="6" t="n">
        <f aca="false">IF(7=Assumptions!$C$39,Assumptions!$C$10*Assumptions!$C$44+Assumptions!$C$45,0)</f>
        <v>0</v>
      </c>
      <c r="J27" s="6" t="n">
        <f aca="false">IF(8=Assumptions!$C$39,Assumptions!$C$10*Assumptions!$C$44+Assumptions!$C$45,0)</f>
        <v>0</v>
      </c>
      <c r="K27" s="6" t="n">
        <f aca="false">IF(9=Assumptions!$C$39,Assumptions!$C$10*Assumptions!$C$44+Assumptions!$C$45,0)</f>
        <v>0</v>
      </c>
      <c r="L27" s="6" t="n">
        <f aca="false">IF(10=Assumptions!$C$39,Assumptions!$C$10*Assumptions!$C$44+Assumptions!$C$45,0)</f>
        <v>0</v>
      </c>
      <c r="M27" s="6" t="n">
        <f aca="false">IF(11=Assumptions!$C$39,Assumptions!$C$10*Assumptions!$C$44+Assumptions!$C$45,0)</f>
        <v>0</v>
      </c>
      <c r="N27" s="6" t="n">
        <f aca="false">IF(12=Assumptions!$C$39,Assumptions!$C$10*Assumptions!$C$44+Assumptions!$C$45,0)</f>
        <v>0</v>
      </c>
      <c r="O27" s="6" t="n">
        <f aca="false">IF(13=Assumptions!$C$39,Assumptions!$C$10*Assumptions!$C$44+Assumptions!$C$45,0)</f>
        <v>0</v>
      </c>
      <c r="P27" s="6" t="n">
        <f aca="false">IF(14=Assumptions!$C$39,Assumptions!$C$10*Assumptions!$C$44+Assumptions!$C$45,0)</f>
        <v>0</v>
      </c>
      <c r="Q27" s="6" t="n">
        <f aca="false">IF(15=Assumptions!$C$39,Assumptions!$C$10*Assumptions!$C$44+Assumptions!$C$45,0)</f>
        <v>0</v>
      </c>
      <c r="R27" s="6" t="n">
        <f aca="false">IF(16=Assumptions!$C$39,Assumptions!$C$10*Assumptions!$C$44+Assumptions!$C$45,0)</f>
        <v>0</v>
      </c>
      <c r="S27" s="6" t="n">
        <f aca="false">IF(17=Assumptions!$C$39,Assumptions!$C$10*Assumptions!$C$44+Assumptions!$C$45,0)</f>
        <v>0</v>
      </c>
      <c r="T27" s="6" t="n">
        <f aca="false">IF(18=Assumptions!$C$39,Assumptions!$C$10*Assumptions!$C$44+Assumptions!$C$45,0)</f>
        <v>0</v>
      </c>
      <c r="U27" s="6" t="n">
        <f aca="false">IF(19=Assumptions!$C$39,Assumptions!$C$10*Assumptions!$C$44+Assumptions!$C$45,0)</f>
        <v>0</v>
      </c>
      <c r="V27" s="6" t="n">
        <f aca="false">IF(20=Assumptions!$C$39,Assumptions!$C$10*Assumptions!$C$44+Assumptions!$C$45,0)</f>
        <v>0</v>
      </c>
    </row>
    <row r="28" customFormat="false" ht="15" hidden="false" customHeight="false" outlineLevel="0" collapsed="false">
      <c r="B28" s="10" t="s">
        <v>45</v>
      </c>
      <c r="C28" s="6" t="n">
        <f aca="false">IF(1=Assumptions!$D$39,Assumptions!$D$10*Assumptions!$C$44+Assumptions!$C$45,0)</f>
        <v>0</v>
      </c>
      <c r="D28" s="6" t="n">
        <f aca="false">IF(2=Assumptions!$D$39,Assumptions!$D$10*Assumptions!$C$44+Assumptions!$C$45,0)</f>
        <v>0</v>
      </c>
      <c r="E28" s="6" t="n">
        <f aca="false">IF(3=Assumptions!$D$39,Assumptions!$D$10*Assumptions!$C$44+Assumptions!$C$45,0)</f>
        <v>195000</v>
      </c>
      <c r="F28" s="6" t="n">
        <f aca="false">IF(4=Assumptions!$D$39,Assumptions!$D$10*Assumptions!$C$44+Assumptions!$C$45,0)</f>
        <v>0</v>
      </c>
      <c r="G28" s="6" t="n">
        <f aca="false">IF(5=Assumptions!$D$39,Assumptions!$D$10*Assumptions!$C$44+Assumptions!$C$45,0)</f>
        <v>0</v>
      </c>
      <c r="H28" s="6" t="n">
        <f aca="false">IF(6=Assumptions!$D$39,Assumptions!$D$10*Assumptions!$C$44+Assumptions!$C$45,0)</f>
        <v>0</v>
      </c>
      <c r="I28" s="6" t="n">
        <f aca="false">IF(7=Assumptions!$D$39,Assumptions!$D$10*Assumptions!$C$44+Assumptions!$C$45,0)</f>
        <v>0</v>
      </c>
      <c r="J28" s="6" t="n">
        <f aca="false">IF(8=Assumptions!$D$39,Assumptions!$D$10*Assumptions!$C$44+Assumptions!$C$45,0)</f>
        <v>0</v>
      </c>
      <c r="K28" s="6" t="n">
        <f aca="false">IF(9=Assumptions!$D$39,Assumptions!$D$10*Assumptions!$C$44+Assumptions!$C$45,0)</f>
        <v>0</v>
      </c>
      <c r="L28" s="6" t="n">
        <f aca="false">IF(10=Assumptions!$D$39,Assumptions!$D$10*Assumptions!$C$44+Assumptions!$C$45,0)</f>
        <v>0</v>
      </c>
      <c r="M28" s="6" t="n">
        <f aca="false">IF(11=Assumptions!$D$39,Assumptions!$D$10*Assumptions!$C$44+Assumptions!$C$45,0)</f>
        <v>0</v>
      </c>
      <c r="N28" s="6" t="n">
        <f aca="false">IF(12=Assumptions!$D$39,Assumptions!$D$10*Assumptions!$C$44+Assumptions!$C$45,0)</f>
        <v>0</v>
      </c>
      <c r="O28" s="6" t="n">
        <f aca="false">IF(13=Assumptions!$D$39,Assumptions!$D$10*Assumptions!$C$44+Assumptions!$C$45,0)</f>
        <v>0</v>
      </c>
      <c r="P28" s="6" t="n">
        <f aca="false">IF(14=Assumptions!$D$39,Assumptions!$D$10*Assumptions!$C$44+Assumptions!$C$45,0)</f>
        <v>0</v>
      </c>
      <c r="Q28" s="6" t="n">
        <f aca="false">IF(15=Assumptions!$D$39,Assumptions!$D$10*Assumptions!$C$44+Assumptions!$C$45,0)</f>
        <v>0</v>
      </c>
      <c r="R28" s="6" t="n">
        <f aca="false">IF(16=Assumptions!$D$39,Assumptions!$D$10*Assumptions!$C$44+Assumptions!$C$45,0)</f>
        <v>0</v>
      </c>
      <c r="S28" s="6" t="n">
        <f aca="false">IF(17=Assumptions!$D$39,Assumptions!$D$10*Assumptions!$C$44+Assumptions!$C$45,0)</f>
        <v>0</v>
      </c>
      <c r="T28" s="6" t="n">
        <f aca="false">IF(18=Assumptions!$D$39,Assumptions!$D$10*Assumptions!$C$44+Assumptions!$C$45,0)</f>
        <v>0</v>
      </c>
      <c r="U28" s="6" t="n">
        <f aca="false">IF(19=Assumptions!$D$39,Assumptions!$D$10*Assumptions!$C$44+Assumptions!$C$45,0)</f>
        <v>0</v>
      </c>
      <c r="V28" s="6" t="n">
        <f aca="false">IF(20=Assumptions!$D$39,Assumptions!$D$10*Assumptions!$C$44+Assumptions!$C$45,0)</f>
        <v>0</v>
      </c>
    </row>
    <row r="29" customFormat="false" ht="15" hidden="false" customHeight="false" outlineLevel="0" collapsed="false">
      <c r="B29" s="10" t="s">
        <v>46</v>
      </c>
      <c r="C29" s="6" t="n">
        <f aca="false">IF(1=Assumptions!$E$39,Assumptions!$E$10*Assumptions!$C$44+Assumptions!$C$45,0)</f>
        <v>0</v>
      </c>
      <c r="D29" s="6" t="n">
        <f aca="false">IF(2=Assumptions!$E$39,Assumptions!$E$10*Assumptions!$C$44+Assumptions!$C$45,0)</f>
        <v>0</v>
      </c>
      <c r="E29" s="6" t="n">
        <f aca="false">IF(3=Assumptions!$E$39,Assumptions!$E$10*Assumptions!$C$44+Assumptions!$C$45,0)</f>
        <v>0</v>
      </c>
      <c r="F29" s="6" t="n">
        <f aca="false">IF(4=Assumptions!$E$39,Assumptions!$E$10*Assumptions!$C$44+Assumptions!$C$45,0)</f>
        <v>225000</v>
      </c>
      <c r="G29" s="6" t="n">
        <f aca="false">IF(5=Assumptions!$E$39,Assumptions!$E$10*Assumptions!$C$44+Assumptions!$C$45,0)</f>
        <v>0</v>
      </c>
      <c r="H29" s="6" t="n">
        <f aca="false">IF(6=Assumptions!$E$39,Assumptions!$E$10*Assumptions!$C$44+Assumptions!$C$45,0)</f>
        <v>0</v>
      </c>
      <c r="I29" s="6" t="n">
        <f aca="false">IF(7=Assumptions!$E$39,Assumptions!$E$10*Assumptions!$C$44+Assumptions!$C$45,0)</f>
        <v>0</v>
      </c>
      <c r="J29" s="6" t="n">
        <f aca="false">IF(8=Assumptions!$E$39,Assumptions!$E$10*Assumptions!$C$44+Assumptions!$C$45,0)</f>
        <v>0</v>
      </c>
      <c r="K29" s="6" t="n">
        <f aca="false">IF(9=Assumptions!$E$39,Assumptions!$E$10*Assumptions!$C$44+Assumptions!$C$45,0)</f>
        <v>0</v>
      </c>
      <c r="L29" s="6" t="n">
        <f aca="false">IF(10=Assumptions!$E$39,Assumptions!$E$10*Assumptions!$C$44+Assumptions!$C$45,0)</f>
        <v>0</v>
      </c>
      <c r="M29" s="6" t="n">
        <f aca="false">IF(11=Assumptions!$E$39,Assumptions!$E$10*Assumptions!$C$44+Assumptions!$C$45,0)</f>
        <v>0</v>
      </c>
      <c r="N29" s="6" t="n">
        <f aca="false">IF(12=Assumptions!$E$39,Assumptions!$E$10*Assumptions!$C$44+Assumptions!$C$45,0)</f>
        <v>0</v>
      </c>
      <c r="O29" s="6" t="n">
        <f aca="false">IF(13=Assumptions!$E$39,Assumptions!$E$10*Assumptions!$C$44+Assumptions!$C$45,0)</f>
        <v>0</v>
      </c>
      <c r="P29" s="6" t="n">
        <f aca="false">IF(14=Assumptions!$E$39,Assumptions!$E$10*Assumptions!$C$44+Assumptions!$C$45,0)</f>
        <v>0</v>
      </c>
      <c r="Q29" s="6" t="n">
        <f aca="false">IF(15=Assumptions!$E$39,Assumptions!$E$10*Assumptions!$C$44+Assumptions!$C$45,0)</f>
        <v>0</v>
      </c>
      <c r="R29" s="6" t="n">
        <f aca="false">IF(16=Assumptions!$E$39,Assumptions!$E$10*Assumptions!$C$44+Assumptions!$C$45,0)</f>
        <v>0</v>
      </c>
      <c r="S29" s="6" t="n">
        <f aca="false">IF(17=Assumptions!$E$39,Assumptions!$E$10*Assumptions!$C$44+Assumptions!$C$45,0)</f>
        <v>0</v>
      </c>
      <c r="T29" s="6" t="n">
        <f aca="false">IF(18=Assumptions!$E$39,Assumptions!$E$10*Assumptions!$C$44+Assumptions!$C$45,0)</f>
        <v>0</v>
      </c>
      <c r="U29" s="6" t="n">
        <f aca="false">IF(19=Assumptions!$E$39,Assumptions!$E$10*Assumptions!$C$44+Assumptions!$C$45,0)</f>
        <v>0</v>
      </c>
      <c r="V29" s="6" t="n">
        <f aca="false">IF(20=Assumptions!$E$39,Assumptions!$E$10*Assumptions!$C$44+Assumptions!$C$45,0)</f>
        <v>0</v>
      </c>
    </row>
    <row r="30" customFormat="false" ht="15" hidden="false" customHeight="false" outlineLevel="0" collapsed="false">
      <c r="B30" s="10" t="s">
        <v>47</v>
      </c>
      <c r="C30" s="6" t="n">
        <f aca="false">IF(1=Assumptions!$F$39,Assumptions!$F$10*Assumptions!$C$44+Assumptions!$C$45,0)</f>
        <v>0</v>
      </c>
      <c r="D30" s="6" t="n">
        <f aca="false">IF(2=Assumptions!$F$39,Assumptions!$F$10*Assumptions!$C$44+Assumptions!$C$45,0)</f>
        <v>0</v>
      </c>
      <c r="E30" s="6" t="n">
        <f aca="false">IF(3=Assumptions!$F$39,Assumptions!$F$10*Assumptions!$C$44+Assumptions!$C$45,0)</f>
        <v>0</v>
      </c>
      <c r="F30" s="6" t="n">
        <f aca="false">IF(4=Assumptions!$F$39,Assumptions!$F$10*Assumptions!$C$44+Assumptions!$C$45,0)</f>
        <v>0</v>
      </c>
      <c r="G30" s="6" t="n">
        <f aca="false">IF(5=Assumptions!$F$39,Assumptions!$F$10*Assumptions!$C$44+Assumptions!$C$45,0)</f>
        <v>165000</v>
      </c>
      <c r="H30" s="6" t="n">
        <f aca="false">IF(6=Assumptions!$F$39,Assumptions!$F$10*Assumptions!$C$44+Assumptions!$C$45,0)</f>
        <v>0</v>
      </c>
      <c r="I30" s="6" t="n">
        <f aca="false">IF(7=Assumptions!$F$39,Assumptions!$F$10*Assumptions!$C$44+Assumptions!$C$45,0)</f>
        <v>0</v>
      </c>
      <c r="J30" s="6" t="n">
        <f aca="false">IF(8=Assumptions!$F$39,Assumptions!$F$10*Assumptions!$C$44+Assumptions!$C$45,0)</f>
        <v>0</v>
      </c>
      <c r="K30" s="6" t="n">
        <f aca="false">IF(9=Assumptions!$F$39,Assumptions!$F$10*Assumptions!$C$44+Assumptions!$C$45,0)</f>
        <v>0</v>
      </c>
      <c r="L30" s="6" t="n">
        <f aca="false">IF(10=Assumptions!$F$39,Assumptions!$F$10*Assumptions!$C$44+Assumptions!$C$45,0)</f>
        <v>0</v>
      </c>
      <c r="M30" s="6" t="n">
        <f aca="false">IF(11=Assumptions!$F$39,Assumptions!$F$10*Assumptions!$C$44+Assumptions!$C$45,0)</f>
        <v>0</v>
      </c>
      <c r="N30" s="6" t="n">
        <f aca="false">IF(12=Assumptions!$F$39,Assumptions!$F$10*Assumptions!$C$44+Assumptions!$C$45,0)</f>
        <v>0</v>
      </c>
      <c r="O30" s="6" t="n">
        <f aca="false">IF(13=Assumptions!$F$39,Assumptions!$F$10*Assumptions!$C$44+Assumptions!$C$45,0)</f>
        <v>0</v>
      </c>
      <c r="P30" s="6" t="n">
        <f aca="false">IF(14=Assumptions!$F$39,Assumptions!$F$10*Assumptions!$C$44+Assumptions!$C$45,0)</f>
        <v>0</v>
      </c>
      <c r="Q30" s="6" t="n">
        <f aca="false">IF(15=Assumptions!$F$39,Assumptions!$F$10*Assumptions!$C$44+Assumptions!$C$45,0)</f>
        <v>0</v>
      </c>
      <c r="R30" s="6" t="n">
        <f aca="false">IF(16=Assumptions!$F$39,Assumptions!$F$10*Assumptions!$C$44+Assumptions!$C$45,0)</f>
        <v>0</v>
      </c>
      <c r="S30" s="6" t="n">
        <f aca="false">IF(17=Assumptions!$F$39,Assumptions!$F$10*Assumptions!$C$44+Assumptions!$C$45,0)</f>
        <v>0</v>
      </c>
      <c r="T30" s="6" t="n">
        <f aca="false">IF(18=Assumptions!$F$39,Assumptions!$F$10*Assumptions!$C$44+Assumptions!$C$45,0)</f>
        <v>0</v>
      </c>
      <c r="U30" s="6" t="n">
        <f aca="false">IF(19=Assumptions!$F$39,Assumptions!$F$10*Assumptions!$C$44+Assumptions!$C$45,0)</f>
        <v>0</v>
      </c>
      <c r="V30" s="6" t="n">
        <f aca="false">IF(20=Assumptions!$F$39,Assumptions!$F$10*Assumptions!$C$44+Assumptions!$C$45,0)</f>
        <v>0</v>
      </c>
    </row>
    <row r="31" customFormat="false" ht="15" hidden="false" customHeight="false" outlineLevel="0" collapsed="false">
      <c r="B31" s="10" t="s">
        <v>48</v>
      </c>
      <c r="C31" s="6" t="n">
        <f aca="false">IF(1=Assumptions!$G$39,Assumptions!$G$10*Assumptions!$C$44+Assumptions!$C$45,0)</f>
        <v>0</v>
      </c>
      <c r="D31" s="6" t="n">
        <f aca="false">IF(2=Assumptions!$G$39,Assumptions!$G$10*Assumptions!$C$44+Assumptions!$C$45,0)</f>
        <v>0</v>
      </c>
      <c r="E31" s="6" t="n">
        <f aca="false">IF(3=Assumptions!$G$39,Assumptions!$G$10*Assumptions!$C$44+Assumptions!$C$45,0)</f>
        <v>0</v>
      </c>
      <c r="F31" s="6" t="n">
        <f aca="false">IF(4=Assumptions!$G$39,Assumptions!$G$10*Assumptions!$C$44+Assumptions!$C$45,0)</f>
        <v>0</v>
      </c>
      <c r="G31" s="6" t="n">
        <f aca="false">IF(5=Assumptions!$G$39,Assumptions!$G$10*Assumptions!$C$44+Assumptions!$C$45,0)</f>
        <v>0</v>
      </c>
      <c r="H31" s="6" t="n">
        <f aca="false">IF(6=Assumptions!$G$39,Assumptions!$G$10*Assumptions!$C$44+Assumptions!$C$45,0)</f>
        <v>135000</v>
      </c>
      <c r="I31" s="6" t="n">
        <f aca="false">IF(7=Assumptions!$G$39,Assumptions!$G$10*Assumptions!$C$44+Assumptions!$C$45,0)</f>
        <v>0</v>
      </c>
      <c r="J31" s="6" t="n">
        <f aca="false">IF(8=Assumptions!$G$39,Assumptions!$G$10*Assumptions!$C$44+Assumptions!$C$45,0)</f>
        <v>0</v>
      </c>
      <c r="K31" s="6" t="n">
        <f aca="false">IF(9=Assumptions!$G$39,Assumptions!$G$10*Assumptions!$C$44+Assumptions!$C$45,0)</f>
        <v>0</v>
      </c>
      <c r="L31" s="6" t="n">
        <f aca="false">IF(10=Assumptions!$G$39,Assumptions!$G$10*Assumptions!$C$44+Assumptions!$C$45,0)</f>
        <v>0</v>
      </c>
      <c r="M31" s="6" t="n">
        <f aca="false">IF(11=Assumptions!$G$39,Assumptions!$G$10*Assumptions!$C$44+Assumptions!$C$45,0)</f>
        <v>0</v>
      </c>
      <c r="N31" s="6" t="n">
        <f aca="false">IF(12=Assumptions!$G$39,Assumptions!$G$10*Assumptions!$C$44+Assumptions!$C$45,0)</f>
        <v>0</v>
      </c>
      <c r="O31" s="6" t="n">
        <f aca="false">IF(13=Assumptions!$G$39,Assumptions!$G$10*Assumptions!$C$44+Assumptions!$C$45,0)</f>
        <v>0</v>
      </c>
      <c r="P31" s="6" t="n">
        <f aca="false">IF(14=Assumptions!$G$39,Assumptions!$G$10*Assumptions!$C$44+Assumptions!$C$45,0)</f>
        <v>0</v>
      </c>
      <c r="Q31" s="6" t="n">
        <f aca="false">IF(15=Assumptions!$G$39,Assumptions!$G$10*Assumptions!$C$44+Assumptions!$C$45,0)</f>
        <v>0</v>
      </c>
      <c r="R31" s="6" t="n">
        <f aca="false">IF(16=Assumptions!$G$39,Assumptions!$G$10*Assumptions!$C$44+Assumptions!$C$45,0)</f>
        <v>0</v>
      </c>
      <c r="S31" s="6" t="n">
        <f aca="false">IF(17=Assumptions!$G$39,Assumptions!$G$10*Assumptions!$C$44+Assumptions!$C$45,0)</f>
        <v>0</v>
      </c>
      <c r="T31" s="6" t="n">
        <f aca="false">IF(18=Assumptions!$G$39,Assumptions!$G$10*Assumptions!$C$44+Assumptions!$C$45,0)</f>
        <v>0</v>
      </c>
      <c r="U31" s="6" t="n">
        <f aca="false">IF(19=Assumptions!$G$39,Assumptions!$G$10*Assumptions!$C$44+Assumptions!$C$45,0)</f>
        <v>0</v>
      </c>
      <c r="V31" s="6" t="n">
        <f aca="false">IF(20=Assumptions!$G$39,Assumptions!$G$10*Assumptions!$C$44+Assumptions!$C$45,0)</f>
        <v>0</v>
      </c>
    </row>
    <row r="33" customFormat="false" ht="15" hidden="false" customHeight="false" outlineLevel="0" collapsed="false">
      <c r="B33" s="1" t="s">
        <v>394</v>
      </c>
      <c r="C33" s="21" t="n">
        <f aca="false">C27+C28+C29+C30+C31</f>
        <v>0</v>
      </c>
      <c r="D33" s="21" t="n">
        <f aca="false">D27+D28+D29+D30+D31</f>
        <v>255000</v>
      </c>
      <c r="E33" s="21" t="n">
        <f aca="false">E27+E28+E29+E30+E31</f>
        <v>195000</v>
      </c>
      <c r="F33" s="21" t="n">
        <f aca="false">F27+F28+F29+F30+F31</f>
        <v>225000</v>
      </c>
      <c r="G33" s="21" t="n">
        <f aca="false">G27+G28+G29+G30+G31</f>
        <v>165000</v>
      </c>
      <c r="H33" s="21" t="n">
        <f aca="false">H27+H28+H29+H30+H31</f>
        <v>135000</v>
      </c>
      <c r="I33" s="21" t="n">
        <f aca="false">I27+I28+I29+I30+I31</f>
        <v>0</v>
      </c>
      <c r="J33" s="21" t="n">
        <f aca="false">J27+J28+J29+J30+J31</f>
        <v>0</v>
      </c>
      <c r="K33" s="21" t="n">
        <f aca="false">K27+K28+K29+K30+K31</f>
        <v>0</v>
      </c>
      <c r="L33" s="21" t="n">
        <f aca="false">L27+L28+L29+L30+L31</f>
        <v>0</v>
      </c>
      <c r="M33" s="21" t="n">
        <f aca="false">M27+M28+M29+M30+M31</f>
        <v>0</v>
      </c>
      <c r="N33" s="21" t="n">
        <f aca="false">N27+N28+N29+N30+N31</f>
        <v>0</v>
      </c>
      <c r="O33" s="21" t="n">
        <f aca="false">O27+O28+O29+O30+O31</f>
        <v>0</v>
      </c>
      <c r="P33" s="21" t="n">
        <f aca="false">P27+P28+P29+P30+P31</f>
        <v>0</v>
      </c>
      <c r="Q33" s="21" t="n">
        <f aca="false">Q27+Q28+Q29+Q30+Q31</f>
        <v>0</v>
      </c>
      <c r="R33" s="21" t="n">
        <f aca="false">R27+R28+R29+R30+R31</f>
        <v>0</v>
      </c>
      <c r="S33" s="21" t="n">
        <f aca="false">S27+S28+S29+S30+S31</f>
        <v>0</v>
      </c>
      <c r="T33" s="21" t="n">
        <f aca="false">T27+T28+T29+T30+T31</f>
        <v>0</v>
      </c>
      <c r="U33" s="21" t="n">
        <f aca="false">U27+U28+U29+U30+U31</f>
        <v>0</v>
      </c>
      <c r="V33" s="21" t="n">
        <f aca="false">V27+V28+V29+V30+V31</f>
        <v>0</v>
      </c>
    </row>
    <row r="35" customFormat="false" ht="15" hidden="false" customHeight="false" outlineLevel="0" collapsed="false">
      <c r="B35" s="1" t="s">
        <v>395</v>
      </c>
    </row>
    <row r="36" customFormat="false" ht="15" hidden="false" customHeight="false" outlineLevel="0" collapsed="false">
      <c r="B36" s="10" t="s">
        <v>44</v>
      </c>
      <c r="C36" s="6" t="n">
        <f aca="false">IF(AND(C7&gt;0,1&lt;Assumptions!$C$41),C7*Assumptions!$C$18/4,0)</f>
        <v>0</v>
      </c>
      <c r="D36" s="6" t="n">
        <f aca="false">IF(AND(D7&gt;0,2&lt;Assumptions!$C$41),D7*Assumptions!$C$18/4,0)</f>
        <v>0</v>
      </c>
      <c r="E36" s="6" t="n">
        <f aca="false">IF(AND(E7&gt;0,3&lt;Assumptions!$C$41),E7*Assumptions!$C$18/4,0)</f>
        <v>0</v>
      </c>
      <c r="F36" s="6" t="n">
        <f aca="false">IF(AND(F7&gt;0,4&lt;Assumptions!$C$41),F7*Assumptions!$C$18/4,0)</f>
        <v>63750</v>
      </c>
      <c r="G36" s="6" t="n">
        <f aca="false">IF(AND(G7&gt;0,5&lt;Assumptions!$C$41),G7*Assumptions!$C$18/4,0)</f>
        <v>127500</v>
      </c>
      <c r="H36" s="6" t="n">
        <f aca="false">IF(AND(H7&gt;0,6&lt;Assumptions!$C$41),H7*Assumptions!$C$18/4,0)</f>
        <v>127500</v>
      </c>
      <c r="I36" s="6" t="n">
        <f aca="false">IF(AND(I7&gt;0,7&lt;Assumptions!$C$41),I7*Assumptions!$C$18/4,0)</f>
        <v>127500</v>
      </c>
      <c r="J36" s="6" t="n">
        <f aca="false">IF(AND(J7&gt;0,8&lt;Assumptions!$C$41),J7*Assumptions!$C$18/4,0)</f>
        <v>127500</v>
      </c>
      <c r="K36" s="6" t="n">
        <f aca="false">IF(AND(K7&gt;0,9&lt;Assumptions!$C$41),K7*Assumptions!$C$18/4,0)</f>
        <v>127500</v>
      </c>
      <c r="L36" s="6" t="n">
        <f aca="false">IF(AND(L7&gt;0,10&lt;Assumptions!$C$41),L7*Assumptions!$C$18/4,0)</f>
        <v>0</v>
      </c>
      <c r="M36" s="6" t="n">
        <f aca="false">IF(AND(M7&gt;0,11&lt;Assumptions!$C$41),M7*Assumptions!$C$18/4,0)</f>
        <v>0</v>
      </c>
      <c r="N36" s="6" t="n">
        <f aca="false">IF(AND(N7&gt;0,12&lt;Assumptions!$C$41),N7*Assumptions!$C$18/4,0)</f>
        <v>0</v>
      </c>
      <c r="O36" s="6" t="n">
        <f aca="false">IF(AND(O7&gt;0,13&lt;Assumptions!$C$41),O7*Assumptions!$C$18/4,0)</f>
        <v>0</v>
      </c>
      <c r="P36" s="6" t="n">
        <f aca="false">IF(AND(P7&gt;0,14&lt;Assumptions!$C$41),P7*Assumptions!$C$18/4,0)</f>
        <v>0</v>
      </c>
      <c r="Q36" s="6" t="n">
        <f aca="false">IF(AND(Q7&gt;0,15&lt;Assumptions!$C$41),Q7*Assumptions!$C$18/4,0)</f>
        <v>0</v>
      </c>
      <c r="R36" s="6" t="n">
        <f aca="false">IF(AND(R7&gt;0,16&lt;Assumptions!$C$41),R7*Assumptions!$C$18/4,0)</f>
        <v>0</v>
      </c>
      <c r="S36" s="6" t="n">
        <f aca="false">IF(AND(S7&gt;0,17&lt;Assumptions!$C$41),S7*Assumptions!$C$18/4,0)</f>
        <v>0</v>
      </c>
      <c r="T36" s="6" t="n">
        <f aca="false">IF(AND(T7&gt;0,18&lt;Assumptions!$C$41),T7*Assumptions!$C$18/4,0)</f>
        <v>0</v>
      </c>
      <c r="U36" s="6" t="n">
        <f aca="false">IF(AND(U7&gt;0,19&lt;Assumptions!$C$41),U7*Assumptions!$C$18/4,0)</f>
        <v>0</v>
      </c>
      <c r="V36" s="6" t="n">
        <f aca="false">IF(AND(V7&gt;0,20&lt;Assumptions!$C$41),V7*Assumptions!$C$18/4,0)</f>
        <v>0</v>
      </c>
    </row>
    <row r="37" customFormat="false" ht="15" hidden="false" customHeight="false" outlineLevel="0" collapsed="false">
      <c r="B37" s="10" t="s">
        <v>45</v>
      </c>
      <c r="C37" s="6" t="n">
        <f aca="false">IF(AND(C8&gt;0,1&lt;Assumptions!$D$41),C8*Assumptions!$C$18/4,0)</f>
        <v>0</v>
      </c>
      <c r="D37" s="6" t="n">
        <f aca="false">IF(AND(D8&gt;0,2&lt;Assumptions!$D$41),D8*Assumptions!$C$18/4,0)</f>
        <v>0</v>
      </c>
      <c r="E37" s="6" t="n">
        <f aca="false">IF(AND(E8&gt;0,3&lt;Assumptions!$D$41),E8*Assumptions!$C$18/4,0)</f>
        <v>0</v>
      </c>
      <c r="F37" s="6" t="n">
        <f aca="false">IF(AND(F8&gt;0,4&lt;Assumptions!$D$41),F8*Assumptions!$C$18/4,0)</f>
        <v>0</v>
      </c>
      <c r="G37" s="6" t="n">
        <f aca="false">IF(AND(G8&gt;0,5&lt;Assumptions!$D$41),G8*Assumptions!$C$18/4,0)</f>
        <v>42500</v>
      </c>
      <c r="H37" s="6" t="n">
        <f aca="false">IF(AND(H8&gt;0,6&lt;Assumptions!$D$41),H8*Assumptions!$C$18/4,0)</f>
        <v>85000</v>
      </c>
      <c r="I37" s="6" t="n">
        <f aca="false">IF(AND(I8&gt;0,7&lt;Assumptions!$D$41),I8*Assumptions!$C$18/4,0)</f>
        <v>85000</v>
      </c>
      <c r="J37" s="6" t="n">
        <f aca="false">IF(AND(J8&gt;0,8&lt;Assumptions!$D$41),J8*Assumptions!$C$18/4,0)</f>
        <v>85000</v>
      </c>
      <c r="K37" s="6" t="n">
        <f aca="false">IF(AND(K8&gt;0,9&lt;Assumptions!$D$41),K8*Assumptions!$C$18/4,0)</f>
        <v>0</v>
      </c>
      <c r="L37" s="6" t="n">
        <f aca="false">IF(AND(L8&gt;0,10&lt;Assumptions!$D$41),L8*Assumptions!$C$18/4,0)</f>
        <v>0</v>
      </c>
      <c r="M37" s="6" t="n">
        <f aca="false">IF(AND(M8&gt;0,11&lt;Assumptions!$D$41),M8*Assumptions!$C$18/4,0)</f>
        <v>0</v>
      </c>
      <c r="N37" s="6" t="n">
        <f aca="false">IF(AND(N8&gt;0,12&lt;Assumptions!$D$41),N8*Assumptions!$C$18/4,0)</f>
        <v>0</v>
      </c>
      <c r="O37" s="6" t="n">
        <f aca="false">IF(AND(O8&gt;0,13&lt;Assumptions!$D$41),O8*Assumptions!$C$18/4,0)</f>
        <v>0</v>
      </c>
      <c r="P37" s="6" t="n">
        <f aca="false">IF(AND(P8&gt;0,14&lt;Assumptions!$D$41),P8*Assumptions!$C$18/4,0)</f>
        <v>0</v>
      </c>
      <c r="Q37" s="6" t="n">
        <f aca="false">IF(AND(Q8&gt;0,15&lt;Assumptions!$D$41),Q8*Assumptions!$C$18/4,0)</f>
        <v>0</v>
      </c>
      <c r="R37" s="6" t="n">
        <f aca="false">IF(AND(R8&gt;0,16&lt;Assumptions!$D$41),R8*Assumptions!$C$18/4,0)</f>
        <v>0</v>
      </c>
      <c r="S37" s="6" t="n">
        <f aca="false">IF(AND(S8&gt;0,17&lt;Assumptions!$D$41),S8*Assumptions!$C$18/4,0)</f>
        <v>0</v>
      </c>
      <c r="T37" s="6" t="n">
        <f aca="false">IF(AND(T8&gt;0,18&lt;Assumptions!$D$41),T8*Assumptions!$C$18/4,0)</f>
        <v>0</v>
      </c>
      <c r="U37" s="6" t="n">
        <f aca="false">IF(AND(U8&gt;0,19&lt;Assumptions!$D$41),U8*Assumptions!$C$18/4,0)</f>
        <v>0</v>
      </c>
      <c r="V37" s="6" t="n">
        <f aca="false">IF(AND(V8&gt;0,20&lt;Assumptions!$D$41),V8*Assumptions!$C$18/4,0)</f>
        <v>0</v>
      </c>
    </row>
    <row r="38" customFormat="false" ht="15" hidden="false" customHeight="false" outlineLevel="0" collapsed="false">
      <c r="B38" s="10" t="s">
        <v>46</v>
      </c>
      <c r="C38" s="6" t="n">
        <f aca="false">IF(AND(C9&gt;0,1&lt;Assumptions!$E$41),C9*Assumptions!$C$18/4,0)</f>
        <v>0</v>
      </c>
      <c r="D38" s="6" t="n">
        <f aca="false">IF(AND(D9&gt;0,2&lt;Assumptions!$E$41),D9*Assumptions!$C$18/4,0)</f>
        <v>0</v>
      </c>
      <c r="E38" s="6" t="n">
        <f aca="false">IF(AND(E9&gt;0,3&lt;Assumptions!$E$41),E9*Assumptions!$C$18/4,0)</f>
        <v>0</v>
      </c>
      <c r="F38" s="6" t="n">
        <f aca="false">IF(AND(F9&gt;0,4&lt;Assumptions!$E$41),F9*Assumptions!$C$18/4,0)</f>
        <v>0</v>
      </c>
      <c r="G38" s="6" t="n">
        <f aca="false">IF(AND(G9&gt;0,5&lt;Assumptions!$E$41),G9*Assumptions!$C$18/4,0)</f>
        <v>0</v>
      </c>
      <c r="H38" s="6" t="n">
        <f aca="false">IF(AND(H9&gt;0,6&lt;Assumptions!$E$41),H9*Assumptions!$C$18/4,0)</f>
        <v>42500</v>
      </c>
      <c r="I38" s="6" t="n">
        <f aca="false">IF(AND(I9&gt;0,7&lt;Assumptions!$E$41),I9*Assumptions!$C$18/4,0)</f>
        <v>106250</v>
      </c>
      <c r="J38" s="6" t="n">
        <f aca="false">IF(AND(J9&gt;0,8&lt;Assumptions!$E$41),J9*Assumptions!$C$18/4,0)</f>
        <v>106250</v>
      </c>
      <c r="K38" s="6" t="n">
        <f aca="false">IF(AND(K9&gt;0,9&lt;Assumptions!$E$41),K9*Assumptions!$C$18/4,0)</f>
        <v>106250</v>
      </c>
      <c r="L38" s="6" t="n">
        <f aca="false">IF(AND(L9&gt;0,10&lt;Assumptions!$E$41),L9*Assumptions!$C$18/4,0)</f>
        <v>0</v>
      </c>
      <c r="M38" s="6" t="n">
        <f aca="false">IF(AND(M9&gt;0,11&lt;Assumptions!$E$41),M9*Assumptions!$C$18/4,0)</f>
        <v>0</v>
      </c>
      <c r="N38" s="6" t="n">
        <f aca="false">IF(AND(N9&gt;0,12&lt;Assumptions!$E$41),N9*Assumptions!$C$18/4,0)</f>
        <v>0</v>
      </c>
      <c r="O38" s="6" t="n">
        <f aca="false">IF(AND(O9&gt;0,13&lt;Assumptions!$E$41),O9*Assumptions!$C$18/4,0)</f>
        <v>0</v>
      </c>
      <c r="P38" s="6" t="n">
        <f aca="false">IF(AND(P9&gt;0,14&lt;Assumptions!$E$41),P9*Assumptions!$C$18/4,0)</f>
        <v>0</v>
      </c>
      <c r="Q38" s="6" t="n">
        <f aca="false">IF(AND(Q9&gt;0,15&lt;Assumptions!$E$41),Q9*Assumptions!$C$18/4,0)</f>
        <v>0</v>
      </c>
      <c r="R38" s="6" t="n">
        <f aca="false">IF(AND(R9&gt;0,16&lt;Assumptions!$E$41),R9*Assumptions!$C$18/4,0)</f>
        <v>0</v>
      </c>
      <c r="S38" s="6" t="n">
        <f aca="false">IF(AND(S9&gt;0,17&lt;Assumptions!$E$41),S9*Assumptions!$C$18/4,0)</f>
        <v>0</v>
      </c>
      <c r="T38" s="6" t="n">
        <f aca="false">IF(AND(T9&gt;0,18&lt;Assumptions!$E$41),T9*Assumptions!$C$18/4,0)</f>
        <v>0</v>
      </c>
      <c r="U38" s="6" t="n">
        <f aca="false">IF(AND(U9&gt;0,19&lt;Assumptions!$E$41),U9*Assumptions!$C$18/4,0)</f>
        <v>0</v>
      </c>
      <c r="V38" s="6" t="n">
        <f aca="false">IF(AND(V9&gt;0,20&lt;Assumptions!$E$41),V9*Assumptions!$C$18/4,0)</f>
        <v>0</v>
      </c>
    </row>
    <row r="39" customFormat="false" ht="15" hidden="false" customHeight="false" outlineLevel="0" collapsed="false">
      <c r="B39" s="10" t="s">
        <v>47</v>
      </c>
      <c r="C39" s="6" t="n">
        <f aca="false">IF(AND(C10&gt;0,1&lt;Assumptions!$F$41),C10*Assumptions!$C$18/4,0)</f>
        <v>0</v>
      </c>
      <c r="D39" s="6" t="n">
        <f aca="false">IF(AND(D10&gt;0,2&lt;Assumptions!$F$41),D10*Assumptions!$C$18/4,0)</f>
        <v>0</v>
      </c>
      <c r="E39" s="6" t="n">
        <f aca="false">IF(AND(E10&gt;0,3&lt;Assumptions!$F$41),E10*Assumptions!$C$18/4,0)</f>
        <v>0</v>
      </c>
      <c r="F39" s="6" t="n">
        <f aca="false">IF(AND(F10&gt;0,4&lt;Assumptions!$F$41),F10*Assumptions!$C$18/4,0)</f>
        <v>0</v>
      </c>
      <c r="G39" s="6" t="n">
        <f aca="false">IF(AND(G10&gt;0,5&lt;Assumptions!$F$41),G10*Assumptions!$C$18/4,0)</f>
        <v>0</v>
      </c>
      <c r="H39" s="6" t="n">
        <f aca="false">IF(AND(H10&gt;0,6&lt;Assumptions!$F$41),H10*Assumptions!$C$18/4,0)</f>
        <v>0</v>
      </c>
      <c r="I39" s="6" t="n">
        <f aca="false">IF(AND(I10&gt;0,7&lt;Assumptions!$F$41),I10*Assumptions!$C$18/4,0)</f>
        <v>42500</v>
      </c>
      <c r="J39" s="6" t="n">
        <f aca="false">IF(AND(J10&gt;0,8&lt;Assumptions!$F$41),J10*Assumptions!$C$18/4,0)</f>
        <v>63750</v>
      </c>
      <c r="K39" s="6" t="n">
        <f aca="false">IF(AND(K10&gt;0,9&lt;Assumptions!$F$41),K10*Assumptions!$C$18/4,0)</f>
        <v>63750</v>
      </c>
      <c r="L39" s="6" t="n">
        <f aca="false">IF(AND(L10&gt;0,10&lt;Assumptions!$F$41),L10*Assumptions!$C$18/4,0)</f>
        <v>63750</v>
      </c>
      <c r="M39" s="6" t="n">
        <f aca="false">IF(AND(M10&gt;0,11&lt;Assumptions!$F$41),M10*Assumptions!$C$18/4,0)</f>
        <v>0</v>
      </c>
      <c r="N39" s="6" t="n">
        <f aca="false">IF(AND(N10&gt;0,12&lt;Assumptions!$F$41),N10*Assumptions!$C$18/4,0)</f>
        <v>0</v>
      </c>
      <c r="O39" s="6" t="n">
        <f aca="false">IF(AND(O10&gt;0,13&lt;Assumptions!$F$41),O10*Assumptions!$C$18/4,0)</f>
        <v>0</v>
      </c>
      <c r="P39" s="6" t="n">
        <f aca="false">IF(AND(P10&gt;0,14&lt;Assumptions!$F$41),P10*Assumptions!$C$18/4,0)</f>
        <v>0</v>
      </c>
      <c r="Q39" s="6" t="n">
        <f aca="false">IF(AND(Q10&gt;0,15&lt;Assumptions!$F$41),Q10*Assumptions!$C$18/4,0)</f>
        <v>0</v>
      </c>
      <c r="R39" s="6" t="n">
        <f aca="false">IF(AND(R10&gt;0,16&lt;Assumptions!$F$41),R10*Assumptions!$C$18/4,0)</f>
        <v>0</v>
      </c>
      <c r="S39" s="6" t="n">
        <f aca="false">IF(AND(S10&gt;0,17&lt;Assumptions!$F$41),S10*Assumptions!$C$18/4,0)</f>
        <v>0</v>
      </c>
      <c r="T39" s="6" t="n">
        <f aca="false">IF(AND(T10&gt;0,18&lt;Assumptions!$F$41),T10*Assumptions!$C$18/4,0)</f>
        <v>0</v>
      </c>
      <c r="U39" s="6" t="n">
        <f aca="false">IF(AND(U10&gt;0,19&lt;Assumptions!$F$41),U10*Assumptions!$C$18/4,0)</f>
        <v>0</v>
      </c>
      <c r="V39" s="6" t="n">
        <f aca="false">IF(AND(V10&gt;0,20&lt;Assumptions!$F$41),V10*Assumptions!$C$18/4,0)</f>
        <v>0</v>
      </c>
    </row>
    <row r="40" customFormat="false" ht="15" hidden="false" customHeight="false" outlineLevel="0" collapsed="false">
      <c r="B40" s="10" t="s">
        <v>48</v>
      </c>
      <c r="C40" s="6" t="n">
        <f aca="false">IF(AND(C11&gt;0,1&lt;Assumptions!$G$41),C11*Assumptions!$C$18/4,0)</f>
        <v>0</v>
      </c>
      <c r="D40" s="6" t="n">
        <f aca="false">IF(AND(D11&gt;0,2&lt;Assumptions!$G$41),D11*Assumptions!$C$18/4,0)</f>
        <v>0</v>
      </c>
      <c r="E40" s="6" t="n">
        <f aca="false">IF(AND(E11&gt;0,3&lt;Assumptions!$G$41),E11*Assumptions!$C$18/4,0)</f>
        <v>0</v>
      </c>
      <c r="F40" s="6" t="n">
        <f aca="false">IF(AND(F11&gt;0,4&lt;Assumptions!$G$41),F11*Assumptions!$C$18/4,0)</f>
        <v>0</v>
      </c>
      <c r="G40" s="6" t="n">
        <f aca="false">IF(AND(G11&gt;0,5&lt;Assumptions!$G$41),G11*Assumptions!$C$18/4,0)</f>
        <v>0</v>
      </c>
      <c r="H40" s="6" t="n">
        <f aca="false">IF(AND(H11&gt;0,6&lt;Assumptions!$G$41),H11*Assumptions!$C$18/4,0)</f>
        <v>0</v>
      </c>
      <c r="I40" s="6" t="n">
        <f aca="false">IF(AND(I11&gt;0,7&lt;Assumptions!$G$41),I11*Assumptions!$C$18/4,0)</f>
        <v>0</v>
      </c>
      <c r="J40" s="6" t="n">
        <f aca="false">IF(AND(J11&gt;0,8&lt;Assumptions!$G$41),J11*Assumptions!$C$18/4,0)</f>
        <v>42500</v>
      </c>
      <c r="K40" s="6" t="n">
        <f aca="false">IF(AND(K11&gt;0,9&lt;Assumptions!$G$41),K11*Assumptions!$C$18/4,0)</f>
        <v>42500</v>
      </c>
      <c r="L40" s="6" t="n">
        <f aca="false">IF(AND(L11&gt;0,10&lt;Assumptions!$G$41),L11*Assumptions!$C$18/4,0)</f>
        <v>42500</v>
      </c>
      <c r="M40" s="6" t="n">
        <f aca="false">IF(AND(M11&gt;0,11&lt;Assumptions!$G$41),M11*Assumptions!$C$18/4,0)</f>
        <v>42500</v>
      </c>
      <c r="N40" s="6" t="n">
        <f aca="false">IF(AND(N11&gt;0,12&lt;Assumptions!$G$41),N11*Assumptions!$C$18/4,0)</f>
        <v>0</v>
      </c>
      <c r="O40" s="6" t="n">
        <f aca="false">IF(AND(O11&gt;0,13&lt;Assumptions!$G$41),O11*Assumptions!$C$18/4,0)</f>
        <v>0</v>
      </c>
      <c r="P40" s="6" t="n">
        <f aca="false">IF(AND(P11&gt;0,14&lt;Assumptions!$G$41),P11*Assumptions!$C$18/4,0)</f>
        <v>0</v>
      </c>
      <c r="Q40" s="6" t="n">
        <f aca="false">IF(AND(Q11&gt;0,15&lt;Assumptions!$G$41),Q11*Assumptions!$C$18/4,0)</f>
        <v>0</v>
      </c>
      <c r="R40" s="6" t="n">
        <f aca="false">IF(AND(R11&gt;0,16&lt;Assumptions!$G$41),R11*Assumptions!$C$18/4,0)</f>
        <v>0</v>
      </c>
      <c r="S40" s="6" t="n">
        <f aca="false">IF(AND(S11&gt;0,17&lt;Assumptions!$G$41),S11*Assumptions!$C$18/4,0)</f>
        <v>0</v>
      </c>
      <c r="T40" s="6" t="n">
        <f aca="false">IF(AND(T11&gt;0,18&lt;Assumptions!$G$41),T11*Assumptions!$C$18/4,0)</f>
        <v>0</v>
      </c>
      <c r="U40" s="6" t="n">
        <f aca="false">IF(AND(U11&gt;0,19&lt;Assumptions!$G$41),U11*Assumptions!$C$18/4,0)</f>
        <v>0</v>
      </c>
      <c r="V40" s="6" t="n">
        <f aca="false">IF(AND(V11&gt;0,20&lt;Assumptions!$G$41),V11*Assumptions!$C$18/4,0)</f>
        <v>0</v>
      </c>
    </row>
    <row r="42" customFormat="false" ht="15" hidden="false" customHeight="false" outlineLevel="0" collapsed="false">
      <c r="B42" s="1" t="s">
        <v>396</v>
      </c>
      <c r="C42" s="21" t="n">
        <f aca="false">C36+C37+C38+C39+C40</f>
        <v>0</v>
      </c>
      <c r="D42" s="21" t="n">
        <f aca="false">D36+D37+D38+D39+D40</f>
        <v>0</v>
      </c>
      <c r="E42" s="21" t="n">
        <f aca="false">E36+E37+E38+E39+E40</f>
        <v>0</v>
      </c>
      <c r="F42" s="21" t="n">
        <f aca="false">F36+F37+F38+F39+F40</f>
        <v>63750</v>
      </c>
      <c r="G42" s="21" t="n">
        <f aca="false">G36+G37+G38+G39+G40</f>
        <v>170000</v>
      </c>
      <c r="H42" s="21" t="n">
        <f aca="false">H36+H37+H38+H39+H40</f>
        <v>255000</v>
      </c>
      <c r="I42" s="21" t="n">
        <f aca="false">I36+I37+I38+I39+I40</f>
        <v>361250</v>
      </c>
      <c r="J42" s="21" t="n">
        <f aca="false">J36+J37+J38+J39+J40</f>
        <v>425000</v>
      </c>
      <c r="K42" s="21" t="n">
        <f aca="false">K36+K37+K38+K39+K40</f>
        <v>340000</v>
      </c>
      <c r="L42" s="21" t="n">
        <f aca="false">L36+L37+L38+L39+L40</f>
        <v>106250</v>
      </c>
      <c r="M42" s="21" t="n">
        <f aca="false">M36+M37+M38+M39+M40</f>
        <v>42500</v>
      </c>
      <c r="N42" s="21" t="n">
        <f aca="false">N36+N37+N38+N39+N40</f>
        <v>0</v>
      </c>
      <c r="O42" s="21" t="n">
        <f aca="false">O36+O37+O38+O39+O40</f>
        <v>0</v>
      </c>
      <c r="P42" s="21" t="n">
        <f aca="false">P36+P37+P38+P39+P40</f>
        <v>0</v>
      </c>
      <c r="Q42" s="21" t="n">
        <f aca="false">Q36+Q37+Q38+Q39+Q40</f>
        <v>0</v>
      </c>
      <c r="R42" s="21" t="n">
        <f aca="false">R36+R37+R38+R39+R40</f>
        <v>0</v>
      </c>
      <c r="S42" s="21" t="n">
        <f aca="false">S36+S37+S38+S39+S40</f>
        <v>0</v>
      </c>
      <c r="T42" s="21" t="n">
        <f aca="false">T36+T37+T38+T39+T40</f>
        <v>0</v>
      </c>
      <c r="U42" s="21" t="n">
        <f aca="false">U36+U37+U38+U39+U40</f>
        <v>0</v>
      </c>
      <c r="V42" s="21" t="n">
        <f aca="false">V36+V37+V38+V39+V40</f>
        <v>0</v>
      </c>
    </row>
    <row r="44" customFormat="false" ht="15" hidden="false" customHeight="false" outlineLevel="0" collapsed="false">
      <c r="B44" s="1" t="s">
        <v>397</v>
      </c>
    </row>
    <row r="45" customFormat="false" ht="15" hidden="false" customHeight="false" outlineLevel="0" collapsed="false">
      <c r="B45" s="10" t="s">
        <v>44</v>
      </c>
      <c r="C45" s="6" t="n">
        <f aca="false">IF(1&gt;=Assumptions!$C$41,Assumptions!$C$15/4,0)</f>
        <v>0</v>
      </c>
      <c r="D45" s="6" t="n">
        <f aca="false">IF(2&gt;=Assumptions!$C$41,Assumptions!$C$15/4,0)</f>
        <v>0</v>
      </c>
      <c r="E45" s="6" t="n">
        <f aca="false">IF(3&gt;=Assumptions!$C$41,Assumptions!$C$15/4,0)</f>
        <v>0</v>
      </c>
      <c r="F45" s="6" t="n">
        <f aca="false">IF(4&gt;=Assumptions!$C$41,Assumptions!$C$15/4,0)</f>
        <v>0</v>
      </c>
      <c r="G45" s="6" t="n">
        <f aca="false">IF(5&gt;=Assumptions!$C$41,Assumptions!$C$15/4,0)</f>
        <v>0</v>
      </c>
      <c r="H45" s="6" t="n">
        <f aca="false">IF(6&gt;=Assumptions!$C$41,Assumptions!$C$15/4,0)</f>
        <v>0</v>
      </c>
      <c r="I45" s="6" t="n">
        <f aca="false">IF(7&gt;=Assumptions!$C$41,Assumptions!$C$15/4,0)</f>
        <v>0</v>
      </c>
      <c r="J45" s="6" t="n">
        <f aca="false">IF(8&gt;=Assumptions!$C$41,Assumptions!$C$15/4,0)</f>
        <v>0</v>
      </c>
      <c r="K45" s="6" t="n">
        <f aca="false">IF(9&gt;=Assumptions!$C$41,Assumptions!$C$15/4,0)</f>
        <v>0</v>
      </c>
      <c r="L45" s="6" t="n">
        <f aca="false">IF(10&gt;=Assumptions!$C$41,Assumptions!$C$15/4,0)</f>
        <v>127500</v>
      </c>
      <c r="M45" s="6" t="n">
        <f aca="false">IF(11&gt;=Assumptions!$C$41,Assumptions!$C$15/4,0)</f>
        <v>127500</v>
      </c>
      <c r="N45" s="6" t="n">
        <f aca="false">IF(12&gt;=Assumptions!$C$41,Assumptions!$C$15/4,0)</f>
        <v>127500</v>
      </c>
      <c r="O45" s="6" t="n">
        <f aca="false">IF(13&gt;=Assumptions!$C$41,Assumptions!$C$15/4,0)</f>
        <v>127500</v>
      </c>
      <c r="P45" s="6" t="n">
        <f aca="false">IF(14&gt;=Assumptions!$C$41,Assumptions!$C$15/4,0)</f>
        <v>127500</v>
      </c>
      <c r="Q45" s="6" t="n">
        <f aca="false">IF(15&gt;=Assumptions!$C$41,Assumptions!$C$15/4,0)</f>
        <v>127500</v>
      </c>
      <c r="R45" s="6" t="n">
        <f aca="false">IF(16&gt;=Assumptions!$C$41,Assumptions!$C$15/4,0)</f>
        <v>127500</v>
      </c>
      <c r="S45" s="6" t="n">
        <f aca="false">IF(17&gt;=Assumptions!$C$41,Assumptions!$C$15/4,0)</f>
        <v>127500</v>
      </c>
      <c r="T45" s="6" t="n">
        <f aca="false">IF(18&gt;=Assumptions!$C$41,Assumptions!$C$15/4,0)</f>
        <v>127500</v>
      </c>
      <c r="U45" s="6" t="n">
        <f aca="false">IF(19&gt;=Assumptions!$C$41,Assumptions!$C$15/4,0)</f>
        <v>127500</v>
      </c>
      <c r="V45" s="6" t="n">
        <f aca="false">IF(20&gt;=Assumptions!$C$41,Assumptions!$C$15/4,0)</f>
        <v>127500</v>
      </c>
    </row>
    <row r="46" customFormat="false" ht="15" hidden="false" customHeight="false" outlineLevel="0" collapsed="false">
      <c r="B46" s="10" t="s">
        <v>45</v>
      </c>
      <c r="C46" s="6" t="n">
        <f aca="false">IF(1&gt;=Assumptions!$D$41,Assumptions!$D$15/4,0)</f>
        <v>0</v>
      </c>
      <c r="D46" s="6" t="n">
        <f aca="false">IF(2&gt;=Assumptions!$D$41,Assumptions!$D$15/4,0)</f>
        <v>0</v>
      </c>
      <c r="E46" s="6" t="n">
        <f aca="false">IF(3&gt;=Assumptions!$D$41,Assumptions!$D$15/4,0)</f>
        <v>0</v>
      </c>
      <c r="F46" s="6" t="n">
        <f aca="false">IF(4&gt;=Assumptions!$D$41,Assumptions!$D$15/4,0)</f>
        <v>0</v>
      </c>
      <c r="G46" s="6" t="n">
        <f aca="false">IF(5&gt;=Assumptions!$D$41,Assumptions!$D$15/4,0)</f>
        <v>0</v>
      </c>
      <c r="H46" s="6" t="n">
        <f aca="false">IF(6&gt;=Assumptions!$D$41,Assumptions!$D$15/4,0)</f>
        <v>0</v>
      </c>
      <c r="I46" s="6" t="n">
        <f aca="false">IF(7&gt;=Assumptions!$D$41,Assumptions!$D$15/4,0)</f>
        <v>0</v>
      </c>
      <c r="J46" s="6" t="n">
        <f aca="false">IF(8&gt;=Assumptions!$D$41,Assumptions!$D$15/4,0)</f>
        <v>0</v>
      </c>
      <c r="K46" s="6" t="n">
        <f aca="false">IF(9&gt;=Assumptions!$D$41,Assumptions!$D$15/4,0)</f>
        <v>85000</v>
      </c>
      <c r="L46" s="6" t="n">
        <f aca="false">IF(10&gt;=Assumptions!$D$41,Assumptions!$D$15/4,0)</f>
        <v>85000</v>
      </c>
      <c r="M46" s="6" t="n">
        <f aca="false">IF(11&gt;=Assumptions!$D$41,Assumptions!$D$15/4,0)</f>
        <v>85000</v>
      </c>
      <c r="N46" s="6" t="n">
        <f aca="false">IF(12&gt;=Assumptions!$D$41,Assumptions!$D$15/4,0)</f>
        <v>85000</v>
      </c>
      <c r="O46" s="6" t="n">
        <f aca="false">IF(13&gt;=Assumptions!$D$41,Assumptions!$D$15/4,0)</f>
        <v>85000</v>
      </c>
      <c r="P46" s="6" t="n">
        <f aca="false">IF(14&gt;=Assumptions!$D$41,Assumptions!$D$15/4,0)</f>
        <v>85000</v>
      </c>
      <c r="Q46" s="6" t="n">
        <f aca="false">IF(15&gt;=Assumptions!$D$41,Assumptions!$D$15/4,0)</f>
        <v>85000</v>
      </c>
      <c r="R46" s="6" t="n">
        <f aca="false">IF(16&gt;=Assumptions!$D$41,Assumptions!$D$15/4,0)</f>
        <v>85000</v>
      </c>
      <c r="S46" s="6" t="n">
        <f aca="false">IF(17&gt;=Assumptions!$D$41,Assumptions!$D$15/4,0)</f>
        <v>85000</v>
      </c>
      <c r="T46" s="6" t="n">
        <f aca="false">IF(18&gt;=Assumptions!$D$41,Assumptions!$D$15/4,0)</f>
        <v>85000</v>
      </c>
      <c r="U46" s="6" t="n">
        <f aca="false">IF(19&gt;=Assumptions!$D$41,Assumptions!$D$15/4,0)</f>
        <v>85000</v>
      </c>
      <c r="V46" s="6" t="n">
        <f aca="false">IF(20&gt;=Assumptions!$D$41,Assumptions!$D$15/4,0)</f>
        <v>85000</v>
      </c>
    </row>
    <row r="47" customFormat="false" ht="15" hidden="false" customHeight="false" outlineLevel="0" collapsed="false">
      <c r="B47" s="10" t="s">
        <v>46</v>
      </c>
      <c r="C47" s="6" t="n">
        <f aca="false">IF(1&gt;=Assumptions!$E$41,Assumptions!$E$15/4,0)</f>
        <v>0</v>
      </c>
      <c r="D47" s="6" t="n">
        <f aca="false">IF(2&gt;=Assumptions!$E$41,Assumptions!$E$15/4,0)</f>
        <v>0</v>
      </c>
      <c r="E47" s="6" t="n">
        <f aca="false">IF(3&gt;=Assumptions!$E$41,Assumptions!$E$15/4,0)</f>
        <v>0</v>
      </c>
      <c r="F47" s="6" t="n">
        <f aca="false">IF(4&gt;=Assumptions!$E$41,Assumptions!$E$15/4,0)</f>
        <v>0</v>
      </c>
      <c r="G47" s="6" t="n">
        <f aca="false">IF(5&gt;=Assumptions!$E$41,Assumptions!$E$15/4,0)</f>
        <v>0</v>
      </c>
      <c r="H47" s="6" t="n">
        <f aca="false">IF(6&gt;=Assumptions!$E$41,Assumptions!$E$15/4,0)</f>
        <v>0</v>
      </c>
      <c r="I47" s="6" t="n">
        <f aca="false">IF(7&gt;=Assumptions!$E$41,Assumptions!$E$15/4,0)</f>
        <v>0</v>
      </c>
      <c r="J47" s="6" t="n">
        <f aca="false">IF(8&gt;=Assumptions!$E$41,Assumptions!$E$15/4,0)</f>
        <v>0</v>
      </c>
      <c r="K47" s="6" t="n">
        <f aca="false">IF(9&gt;=Assumptions!$E$41,Assumptions!$E$15/4,0)</f>
        <v>0</v>
      </c>
      <c r="L47" s="6" t="n">
        <f aca="false">IF(10&gt;=Assumptions!$E$41,Assumptions!$E$15/4,0)</f>
        <v>106250</v>
      </c>
      <c r="M47" s="6" t="n">
        <f aca="false">IF(11&gt;=Assumptions!$E$41,Assumptions!$E$15/4,0)</f>
        <v>106250</v>
      </c>
      <c r="N47" s="6" t="n">
        <f aca="false">IF(12&gt;=Assumptions!$E$41,Assumptions!$E$15/4,0)</f>
        <v>106250</v>
      </c>
      <c r="O47" s="6" t="n">
        <f aca="false">IF(13&gt;=Assumptions!$E$41,Assumptions!$E$15/4,0)</f>
        <v>106250</v>
      </c>
      <c r="P47" s="6" t="n">
        <f aca="false">IF(14&gt;=Assumptions!$E$41,Assumptions!$E$15/4,0)</f>
        <v>106250</v>
      </c>
      <c r="Q47" s="6" t="n">
        <f aca="false">IF(15&gt;=Assumptions!$E$41,Assumptions!$E$15/4,0)</f>
        <v>106250</v>
      </c>
      <c r="R47" s="6" t="n">
        <f aca="false">IF(16&gt;=Assumptions!$E$41,Assumptions!$E$15/4,0)</f>
        <v>106250</v>
      </c>
      <c r="S47" s="6" t="n">
        <f aca="false">IF(17&gt;=Assumptions!$E$41,Assumptions!$E$15/4,0)</f>
        <v>106250</v>
      </c>
      <c r="T47" s="6" t="n">
        <f aca="false">IF(18&gt;=Assumptions!$E$41,Assumptions!$E$15/4,0)</f>
        <v>106250</v>
      </c>
      <c r="U47" s="6" t="n">
        <f aca="false">IF(19&gt;=Assumptions!$E$41,Assumptions!$E$15/4,0)</f>
        <v>106250</v>
      </c>
      <c r="V47" s="6" t="n">
        <f aca="false">IF(20&gt;=Assumptions!$E$41,Assumptions!$E$15/4,0)</f>
        <v>106250</v>
      </c>
    </row>
    <row r="48" customFormat="false" ht="15" hidden="false" customHeight="false" outlineLevel="0" collapsed="false">
      <c r="B48" s="10" t="s">
        <v>47</v>
      </c>
      <c r="C48" s="6" t="n">
        <f aca="false">IF(1&gt;=Assumptions!$F$41,Assumptions!$F$15/4,0)</f>
        <v>0</v>
      </c>
      <c r="D48" s="6" t="n">
        <f aca="false">IF(2&gt;=Assumptions!$F$41,Assumptions!$F$15/4,0)</f>
        <v>0</v>
      </c>
      <c r="E48" s="6" t="n">
        <f aca="false">IF(3&gt;=Assumptions!$F$41,Assumptions!$F$15/4,0)</f>
        <v>0</v>
      </c>
      <c r="F48" s="6" t="n">
        <f aca="false">IF(4&gt;=Assumptions!$F$41,Assumptions!$F$15/4,0)</f>
        <v>0</v>
      </c>
      <c r="G48" s="6" t="n">
        <f aca="false">IF(5&gt;=Assumptions!$F$41,Assumptions!$F$15/4,0)</f>
        <v>0</v>
      </c>
      <c r="H48" s="6" t="n">
        <f aca="false">IF(6&gt;=Assumptions!$F$41,Assumptions!$F$15/4,0)</f>
        <v>0</v>
      </c>
      <c r="I48" s="6" t="n">
        <f aca="false">IF(7&gt;=Assumptions!$F$41,Assumptions!$F$15/4,0)</f>
        <v>0</v>
      </c>
      <c r="J48" s="6" t="n">
        <f aca="false">IF(8&gt;=Assumptions!$F$41,Assumptions!$F$15/4,0)</f>
        <v>0</v>
      </c>
      <c r="K48" s="6" t="n">
        <f aca="false">IF(9&gt;=Assumptions!$F$41,Assumptions!$F$15/4,0)</f>
        <v>0</v>
      </c>
      <c r="L48" s="6" t="n">
        <f aca="false">IF(10&gt;=Assumptions!$F$41,Assumptions!$F$15/4,0)</f>
        <v>0</v>
      </c>
      <c r="M48" s="6" t="n">
        <f aca="false">IF(11&gt;=Assumptions!$F$41,Assumptions!$F$15/4,0)</f>
        <v>63750</v>
      </c>
      <c r="N48" s="6" t="n">
        <f aca="false">IF(12&gt;=Assumptions!$F$41,Assumptions!$F$15/4,0)</f>
        <v>63750</v>
      </c>
      <c r="O48" s="6" t="n">
        <f aca="false">IF(13&gt;=Assumptions!$F$41,Assumptions!$F$15/4,0)</f>
        <v>63750</v>
      </c>
      <c r="P48" s="6" t="n">
        <f aca="false">IF(14&gt;=Assumptions!$F$41,Assumptions!$F$15/4,0)</f>
        <v>63750</v>
      </c>
      <c r="Q48" s="6" t="n">
        <f aca="false">IF(15&gt;=Assumptions!$F$41,Assumptions!$F$15/4,0)</f>
        <v>63750</v>
      </c>
      <c r="R48" s="6" t="n">
        <f aca="false">IF(16&gt;=Assumptions!$F$41,Assumptions!$F$15/4,0)</f>
        <v>63750</v>
      </c>
      <c r="S48" s="6" t="n">
        <f aca="false">IF(17&gt;=Assumptions!$F$41,Assumptions!$F$15/4,0)</f>
        <v>63750</v>
      </c>
      <c r="T48" s="6" t="n">
        <f aca="false">IF(18&gt;=Assumptions!$F$41,Assumptions!$F$15/4,0)</f>
        <v>63750</v>
      </c>
      <c r="U48" s="6" t="n">
        <f aca="false">IF(19&gt;=Assumptions!$F$41,Assumptions!$F$15/4,0)</f>
        <v>63750</v>
      </c>
      <c r="V48" s="6" t="n">
        <f aca="false">IF(20&gt;=Assumptions!$F$41,Assumptions!$F$15/4,0)</f>
        <v>63750</v>
      </c>
    </row>
    <row r="49" customFormat="false" ht="15" hidden="false" customHeight="false" outlineLevel="0" collapsed="false">
      <c r="B49" s="10" t="s">
        <v>48</v>
      </c>
      <c r="C49" s="6" t="n">
        <f aca="false">IF(1&gt;=Assumptions!$G$41,Assumptions!$G$15/4,0)</f>
        <v>0</v>
      </c>
      <c r="D49" s="6" t="n">
        <f aca="false">IF(2&gt;=Assumptions!$G$41,Assumptions!$G$15/4,0)</f>
        <v>0</v>
      </c>
      <c r="E49" s="6" t="n">
        <f aca="false">IF(3&gt;=Assumptions!$G$41,Assumptions!$G$15/4,0)</f>
        <v>0</v>
      </c>
      <c r="F49" s="6" t="n">
        <f aca="false">IF(4&gt;=Assumptions!$G$41,Assumptions!$G$15/4,0)</f>
        <v>0</v>
      </c>
      <c r="G49" s="6" t="n">
        <f aca="false">IF(5&gt;=Assumptions!$G$41,Assumptions!$G$15/4,0)</f>
        <v>0</v>
      </c>
      <c r="H49" s="6" t="n">
        <f aca="false">IF(6&gt;=Assumptions!$G$41,Assumptions!$G$15/4,0)</f>
        <v>0</v>
      </c>
      <c r="I49" s="6" t="n">
        <f aca="false">IF(7&gt;=Assumptions!$G$41,Assumptions!$G$15/4,0)</f>
        <v>0</v>
      </c>
      <c r="J49" s="6" t="n">
        <f aca="false">IF(8&gt;=Assumptions!$G$41,Assumptions!$G$15/4,0)</f>
        <v>0</v>
      </c>
      <c r="K49" s="6" t="n">
        <f aca="false">IF(9&gt;=Assumptions!$G$41,Assumptions!$G$15/4,0)</f>
        <v>0</v>
      </c>
      <c r="L49" s="6" t="n">
        <f aca="false">IF(10&gt;=Assumptions!$G$41,Assumptions!$G$15/4,0)</f>
        <v>0</v>
      </c>
      <c r="M49" s="6" t="n">
        <f aca="false">IF(11&gt;=Assumptions!$G$41,Assumptions!$G$15/4,0)</f>
        <v>0</v>
      </c>
      <c r="N49" s="6" t="n">
        <f aca="false">IF(12&gt;=Assumptions!$G$41,Assumptions!$G$15/4,0)</f>
        <v>42500</v>
      </c>
      <c r="O49" s="6" t="n">
        <f aca="false">IF(13&gt;=Assumptions!$G$41,Assumptions!$G$15/4,0)</f>
        <v>42500</v>
      </c>
      <c r="P49" s="6" t="n">
        <f aca="false">IF(14&gt;=Assumptions!$G$41,Assumptions!$G$15/4,0)</f>
        <v>42500</v>
      </c>
      <c r="Q49" s="6" t="n">
        <f aca="false">IF(15&gt;=Assumptions!$G$41,Assumptions!$G$15/4,0)</f>
        <v>42500</v>
      </c>
      <c r="R49" s="6" t="n">
        <f aca="false">IF(16&gt;=Assumptions!$G$41,Assumptions!$G$15/4,0)</f>
        <v>42500</v>
      </c>
      <c r="S49" s="6" t="n">
        <f aca="false">IF(17&gt;=Assumptions!$G$41,Assumptions!$G$15/4,0)</f>
        <v>42500</v>
      </c>
      <c r="T49" s="6" t="n">
        <f aca="false">IF(18&gt;=Assumptions!$G$41,Assumptions!$G$15/4,0)</f>
        <v>42500</v>
      </c>
      <c r="U49" s="6" t="n">
        <f aca="false">IF(19&gt;=Assumptions!$G$41,Assumptions!$G$15/4,0)</f>
        <v>42500</v>
      </c>
      <c r="V49" s="6" t="n">
        <f aca="false">IF(20&gt;=Assumptions!$G$41,Assumptions!$G$15/4,0)</f>
        <v>42500</v>
      </c>
    </row>
    <row r="51" customFormat="false" ht="15" hidden="false" customHeight="false" outlineLevel="0" collapsed="false">
      <c r="B51" s="1" t="s">
        <v>398</v>
      </c>
      <c r="C51" s="21" t="n">
        <f aca="false">C45+C46+C47+C48+C49</f>
        <v>0</v>
      </c>
      <c r="D51" s="21" t="n">
        <f aca="false">D45+D46+D47+D48+D49</f>
        <v>0</v>
      </c>
      <c r="E51" s="21" t="n">
        <f aca="false">E45+E46+E47+E48+E49</f>
        <v>0</v>
      </c>
      <c r="F51" s="21" t="n">
        <f aca="false">F45+F46+F47+F48+F49</f>
        <v>0</v>
      </c>
      <c r="G51" s="21" t="n">
        <f aca="false">G45+G46+G47+G48+G49</f>
        <v>0</v>
      </c>
      <c r="H51" s="21" t="n">
        <f aca="false">H45+H46+H47+H48+H49</f>
        <v>0</v>
      </c>
      <c r="I51" s="21" t="n">
        <f aca="false">I45+I46+I47+I48+I49</f>
        <v>0</v>
      </c>
      <c r="J51" s="21" t="n">
        <f aca="false">J45+J46+J47+J48+J49</f>
        <v>0</v>
      </c>
      <c r="K51" s="21" t="n">
        <f aca="false">K45+K46+K47+K48+K49</f>
        <v>85000</v>
      </c>
      <c r="L51" s="21" t="n">
        <f aca="false">L45+L46+L47+L48+L49</f>
        <v>318750</v>
      </c>
      <c r="M51" s="21" t="n">
        <f aca="false">M45+M46+M47+M48+M49</f>
        <v>382500</v>
      </c>
      <c r="N51" s="21" t="n">
        <f aca="false">N45+N46+N47+N48+N49</f>
        <v>425000</v>
      </c>
      <c r="O51" s="21" t="n">
        <f aca="false">O45+O46+O47+O48+O49</f>
        <v>425000</v>
      </c>
      <c r="P51" s="21" t="n">
        <f aca="false">P45+P46+P47+P48+P49</f>
        <v>425000</v>
      </c>
      <c r="Q51" s="21" t="n">
        <f aca="false">Q45+Q46+Q47+Q48+Q49</f>
        <v>425000</v>
      </c>
      <c r="R51" s="21" t="n">
        <f aca="false">R45+R46+R47+R48+R49</f>
        <v>425000</v>
      </c>
      <c r="S51" s="21" t="n">
        <f aca="false">S45+S46+S47+S48+S49</f>
        <v>425000</v>
      </c>
      <c r="T51" s="21" t="n">
        <f aca="false">T45+T46+T47+T48+T49</f>
        <v>425000</v>
      </c>
      <c r="U51" s="21" t="n">
        <f aca="false">U45+U46+U47+U48+U49</f>
        <v>425000</v>
      </c>
      <c r="V51" s="21" t="n">
        <f aca="false">V45+V46+V47+V48+V49</f>
        <v>425000</v>
      </c>
    </row>
    <row r="53" customFormat="false" ht="15" hidden="false" customHeight="false" outlineLevel="0" collapsed="false">
      <c r="B53" s="1" t="s">
        <v>399</v>
      </c>
    </row>
    <row r="54" customFormat="false" ht="15" hidden="false" customHeight="false" outlineLevel="0" collapsed="false">
      <c r="B54" s="22" t="s">
        <v>400</v>
      </c>
    </row>
    <row r="55" customFormat="false" ht="15" hidden="false" customHeight="false" outlineLevel="0" collapsed="false">
      <c r="B55" s="10" t="s">
        <v>401</v>
      </c>
      <c r="C55" s="6" t="n">
        <v>0</v>
      </c>
      <c r="D55" s="6" t="n">
        <f aca="false">Assumptions!C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E55" s="6" t="n">
        <f aca="false">Assumptions!C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F55" s="6" t="n">
        <f aca="false">Assumptions!C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G55" s="6" t="n">
        <f aca="false">Assumptions!C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6142.5</v>
      </c>
      <c r="H55" s="6" t="n">
        <f aca="false">Assumptions!C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15356.25</v>
      </c>
      <c r="I55" s="6" t="n">
        <f aca="false">Assumptions!C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23546.25</v>
      </c>
      <c r="J55" s="6" t="n">
        <f aca="false">Assumptions!C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35831.25</v>
      </c>
      <c r="K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$84,1)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51187.5</v>
      </c>
      <c r="L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$84,2)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68079.375</v>
      </c>
      <c r="M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$84,3)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83435.625</v>
      </c>
      <c r="N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$84,4)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96232.5</v>
      </c>
      <c r="O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$84,5)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P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$84,6)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Q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$84,7)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R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S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T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U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V55" s="6" t="n">
        <f aca="false">Assumptions!C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$67*13*Assumptions!$E$67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</row>
    <row r="56" customFormat="false" ht="15" hidden="false" customHeight="false" outlineLevel="0" collapsed="false">
      <c r="B56" s="10" t="s">
        <v>402</v>
      </c>
      <c r="C56" s="6" t="n">
        <v>0</v>
      </c>
      <c r="D56" s="6" t="n">
        <f aca="false">Assumptions!C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E56" s="6" t="n">
        <f aca="false">Assumptions!C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F56" s="6" t="n">
        <f aca="false">Assumptions!C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G56" s="6" t="n">
        <f aca="false">Assumptions!C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H56" s="6" t="n">
        <f aca="false">Assumptions!C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4459.455</v>
      </c>
      <c r="I56" s="6" t="n">
        <f aca="false">Assumptions!C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11148.6375</v>
      </c>
      <c r="J56" s="6" t="n">
        <f aca="false">Assumptions!C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17094.5775</v>
      </c>
      <c r="K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$84,1)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26013.4875</v>
      </c>
      <c r="L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$84,2)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37162.125</v>
      </c>
      <c r="M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$84,3)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49425.62625</v>
      </c>
      <c r="N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$84,4)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60574.26375</v>
      </c>
      <c r="O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$84,5)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69864.795</v>
      </c>
      <c r="P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$84,6)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Q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$84,7)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R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S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T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U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V56" s="6" t="n">
        <f aca="false">Assumptions!C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$67*13*Assumptions!$E$67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</row>
    <row r="57" customFormat="false" ht="15" hidden="false" customHeight="false" outlineLevel="0" collapsed="false">
      <c r="B57" s="10" t="s">
        <v>403</v>
      </c>
      <c r="C57" s="6" t="n">
        <v>0</v>
      </c>
      <c r="D57" s="6" t="n">
        <f aca="false">Assumptions!C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E57" s="6" t="n">
        <f aca="false">Assumptions!C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F57" s="6" t="n">
        <f aca="false">Assumptions!C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G57" s="6" t="n">
        <f aca="false">Assumptions!C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H57" s="6" t="n">
        <f aca="false">Assumptions!C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I57" s="6" t="n">
        <f aca="false">Assumptions!C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4275.18</v>
      </c>
      <c r="J57" s="6" t="n">
        <f aca="false">Assumptions!C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12825.54</v>
      </c>
      <c r="K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$84,1)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19594.575</v>
      </c>
      <c r="L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$84,2)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29926.26</v>
      </c>
      <c r="M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$84,3)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43108.065</v>
      </c>
      <c r="N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$84,4)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57714.93</v>
      </c>
      <c r="O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$84,5)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71431.1325</v>
      </c>
      <c r="P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$84,6)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82653.48</v>
      </c>
      <c r="Q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$84,7)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R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S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T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U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V57" s="6" t="n">
        <f aca="false">Assumptions!C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$67*13*Assumptions!$E$67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</row>
    <row r="58" customFormat="false" ht="15" hidden="false" customHeight="false" outlineLevel="0" collapsed="false">
      <c r="B58" s="10" t="s">
        <v>404</v>
      </c>
      <c r="C58" s="6" t="n">
        <v>0</v>
      </c>
      <c r="D58" s="6" t="n">
        <f aca="false">Assumptions!C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E58" s="6" t="n">
        <f aca="false">Assumptions!C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F58" s="6" t="n">
        <f aca="false">Assumptions!C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G58" s="6" t="n">
        <f aca="false">Assumptions!C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H58" s="6" t="n">
        <f aca="false">Assumptions!C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I58" s="6" t="n">
        <f aca="false">Assumptions!C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J58" s="6" t="n">
        <f aca="false">Assumptions!C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4635.54</v>
      </c>
      <c r="K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$84,1)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9271.08</v>
      </c>
      <c r="L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$84,2)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14292.915</v>
      </c>
      <c r="M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$84,3)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21632.52</v>
      </c>
      <c r="N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$84,4)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30517.305</v>
      </c>
      <c r="O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$84,5)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40174.68</v>
      </c>
      <c r="P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$84,6)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48480.0225</v>
      </c>
      <c r="Q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$84,7)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55626.48</v>
      </c>
      <c r="R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  <c r="S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  <c r="T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  <c r="U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  <c r="V58" s="6" t="n">
        <f aca="false">Assumptions!C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$67*13*Assumptions!$E$67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</row>
    <row r="59" customFormat="false" ht="15" hidden="false" customHeight="false" outlineLevel="0" collapsed="false">
      <c r="B59" s="10" t="s">
        <v>405</v>
      </c>
      <c r="C59" s="6" t="n">
        <v>0</v>
      </c>
      <c r="D59" s="6" t="n">
        <f aca="false">Assumptions!C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E59" s="6" t="n">
        <f aca="false">Assumptions!C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F59" s="6" t="n">
        <f aca="false">Assumptions!C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G59" s="6" t="n">
        <f aca="false">Assumptions!C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H59" s="6" t="n">
        <f aca="false">Assumptions!C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I59" s="6" t="n">
        <f aca="false">Assumptions!C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J59" s="6" t="n">
        <f aca="false">Assumptions!C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K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$84,1)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4791.15</v>
      </c>
      <c r="L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$84,2)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7186.725</v>
      </c>
      <c r="M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$84,3)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11179.35</v>
      </c>
      <c r="N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$84,4)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16769.025</v>
      </c>
      <c r="O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$84,5)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23157.225</v>
      </c>
      <c r="P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$84,6)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29944.6875</v>
      </c>
      <c r="Q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$84,7)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35135.1</v>
      </c>
      <c r="R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  <c r="S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  <c r="T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  <c r="U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  <c r="V59" s="6" t="n">
        <f aca="false">Assumptions!C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$67*13*Assumptions!$E$67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</row>
    <row r="60" customFormat="false" ht="15" hidden="false" customHeight="false" outlineLevel="0" collapsed="false">
      <c r="B60" s="1" t="s">
        <v>406</v>
      </c>
      <c r="C60" s="21" t="n">
        <f aca="false">C55+C56+C57+C58+C59</f>
        <v>0</v>
      </c>
      <c r="D60" s="21" t="n">
        <f aca="false">D55+D56+D57+D58+D59</f>
        <v>0</v>
      </c>
      <c r="E60" s="21" t="n">
        <f aca="false">E55+E56+E57+E58+E59</f>
        <v>0</v>
      </c>
      <c r="F60" s="21" t="n">
        <f aca="false">F55+F56+F57+F58+F59</f>
        <v>0</v>
      </c>
      <c r="G60" s="21" t="n">
        <f aca="false">G55+G56+G57+G58+G59</f>
        <v>6142.5</v>
      </c>
      <c r="H60" s="21" t="n">
        <f aca="false">H55+H56+H57+H58+H59</f>
        <v>19815.705</v>
      </c>
      <c r="I60" s="21" t="n">
        <f aca="false">I55+I56+I57+I58+I59</f>
        <v>38970.0675</v>
      </c>
      <c r="J60" s="21" t="n">
        <f aca="false">J55+J56+J57+J58+J59</f>
        <v>70386.9075</v>
      </c>
      <c r="K60" s="21" t="n">
        <f aca="false">K55+K56+K57+K58+K59</f>
        <v>110857.7925</v>
      </c>
      <c r="L60" s="21" t="n">
        <f aca="false">L55+L56+L57+L58+L59</f>
        <v>156647.4</v>
      </c>
      <c r="M60" s="21" t="n">
        <f aca="false">M55+M56+M57+M58+M59</f>
        <v>208781.18625</v>
      </c>
      <c r="N60" s="21" t="n">
        <f aca="false">N55+N56+N57+N58+N59</f>
        <v>261808.02375</v>
      </c>
      <c r="O60" s="21" t="n">
        <f aca="false">O55+O56+O57+O58+O59</f>
        <v>307002.8325</v>
      </c>
      <c r="P60" s="21" t="n">
        <f aca="false">P55+P56+P57+P58+P59</f>
        <v>337777.44</v>
      </c>
      <c r="Q60" s="21" t="n">
        <f aca="false">Q55+Q56+Q57+Q58+Q59</f>
        <v>356527.08</v>
      </c>
      <c r="R60" s="21" t="n">
        <f aca="false">R55+R56+R57+R58+R59</f>
        <v>363636</v>
      </c>
      <c r="S60" s="21" t="n">
        <f aca="false">S55+S56+S57+S58+S59</f>
        <v>363636</v>
      </c>
      <c r="T60" s="21" t="n">
        <f aca="false">T55+T56+T57+T58+T59</f>
        <v>363636</v>
      </c>
      <c r="U60" s="21" t="n">
        <f aca="false">U55+U56+U57+U58+U59</f>
        <v>363636</v>
      </c>
      <c r="V60" s="21" t="n">
        <f aca="false">V55+V56+V57+V58+V59</f>
        <v>363636</v>
      </c>
    </row>
    <row r="62" customFormat="false" ht="15" hidden="false" customHeight="false" outlineLevel="0" collapsed="false">
      <c r="B62" s="22" t="s">
        <v>407</v>
      </c>
    </row>
    <row r="63" customFormat="false" ht="15" hidden="false" customHeight="false" outlineLevel="0" collapsed="false">
      <c r="B63" s="10" t="s">
        <v>401</v>
      </c>
      <c r="C63" s="6" t="n">
        <v>0</v>
      </c>
      <c r="D63" s="6" t="n">
        <v>0</v>
      </c>
      <c r="E63" s="6" t="n">
        <f aca="false">Assumptions!C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0</v>
      </c>
      <c r="F63" s="6" t="n">
        <f aca="false">Assumptions!C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0</v>
      </c>
      <c r="G63" s="6" t="n">
        <f aca="false">Assumptions!C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0</v>
      </c>
      <c r="H63" s="6" t="n">
        <f aca="false">Assumptions!C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1053</v>
      </c>
      <c r="I63" s="6" t="n">
        <f aca="false">Assumptions!C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2632.5</v>
      </c>
      <c r="J63" s="6" t="n">
        <f aca="false">Assumptions!C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4036.5</v>
      </c>
      <c r="K63" s="6" t="n">
        <f aca="false">Assumptions!C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6142.5</v>
      </c>
      <c r="L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$84,1)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8775</v>
      </c>
      <c r="M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$84,2)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11670.75</v>
      </c>
      <c r="N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$84,3)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14303.25</v>
      </c>
      <c r="O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$84,4)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16497</v>
      </c>
      <c r="P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$84,5)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  <c r="Q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$84,6)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  <c r="R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INDEX(Assumptions!$C$77:$C$84,7)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  <c r="S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  <c r="T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  <c r="U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  <c r="V63" s="6" t="n">
        <f aca="false">Assumptions!C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D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E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F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G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H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I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+Assumptions!J$30*1*Assumptions!$F$68*13*Assumptions!$E$68*IF(Assumptions!$C$10&gt;=6,Assumptions!$C$93,IF(Assumptions!$C$10&gt;=5,Assumptions!$C$94,IF(Assumptions!$C$10&gt;=4,Assumptions!$C$95,IF(Assumptions!$C$10&gt;=3,Assumptions!$C$96,IF(Assumptions!$C$10&gt;=2,Assumptions!$C$97,1)))))*Assumptions!$C$61</f>
        <v>17550</v>
      </c>
    </row>
    <row r="64" customFormat="false" ht="15" hidden="false" customHeight="false" outlineLevel="0" collapsed="false">
      <c r="B64" s="10" t="s">
        <v>402</v>
      </c>
      <c r="C64" s="6" t="n">
        <v>0</v>
      </c>
      <c r="D64" s="6" t="n">
        <v>0</v>
      </c>
      <c r="E64" s="6" t="n">
        <f aca="false">Assumptions!C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0</v>
      </c>
      <c r="F64" s="6" t="n">
        <f aca="false">Assumptions!C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0</v>
      </c>
      <c r="G64" s="6" t="n">
        <f aca="false">Assumptions!C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0</v>
      </c>
      <c r="H64" s="6" t="n">
        <f aca="false">Assumptions!C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0</v>
      </c>
      <c r="I64" s="6" t="n">
        <f aca="false">Assumptions!C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764.478</v>
      </c>
      <c r="J64" s="6" t="n">
        <f aca="false">Assumptions!C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1911.195</v>
      </c>
      <c r="K64" s="6" t="n">
        <f aca="false">Assumptions!C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2930.499</v>
      </c>
      <c r="L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$84,1)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4459.455</v>
      </c>
      <c r="M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$84,2)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6370.65</v>
      </c>
      <c r="N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$84,3)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8472.9645</v>
      </c>
      <c r="O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$84,4)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10384.1595</v>
      </c>
      <c r="P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$84,5)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11976.822</v>
      </c>
      <c r="Q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$84,6)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12741.3</v>
      </c>
      <c r="R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INDEX(Assumptions!$C$77:$C$84,7)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12741.3</v>
      </c>
      <c r="S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12741.3</v>
      </c>
      <c r="T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12741.3</v>
      </c>
      <c r="U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12741.3</v>
      </c>
      <c r="V64" s="6" t="n">
        <f aca="false">Assumptions!C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D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E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F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G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H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I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+Assumptions!J$31*1*Assumptions!$F$68*13*Assumptions!$E$68*IF(Assumptions!$D$10&gt;=6,Assumptions!$C$93,IF(Assumptions!$D$10&gt;=5,Assumptions!$C$94,IF(Assumptions!$D$10&gt;=4,Assumptions!$C$95,IF(Assumptions!$D$10&gt;=3,Assumptions!$C$96,IF(Assumptions!$D$10&gt;=2,Assumptions!$C$97,1)))))*Assumptions!$C$61</f>
        <v>12741.3</v>
      </c>
    </row>
    <row r="65" customFormat="false" ht="15" hidden="false" customHeight="false" outlineLevel="0" collapsed="false">
      <c r="B65" s="10" t="s">
        <v>403</v>
      </c>
      <c r="C65" s="6" t="n">
        <v>0</v>
      </c>
      <c r="D65" s="6" t="n">
        <v>0</v>
      </c>
      <c r="E65" s="6" t="n">
        <f aca="false">Assumptions!C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0</v>
      </c>
      <c r="F65" s="6" t="n">
        <f aca="false">Assumptions!C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0</v>
      </c>
      <c r="G65" s="6" t="n">
        <f aca="false">Assumptions!C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0</v>
      </c>
      <c r="H65" s="6" t="n">
        <f aca="false">Assumptions!C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0</v>
      </c>
      <c r="I65" s="6" t="n">
        <f aca="false">Assumptions!C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0</v>
      </c>
      <c r="J65" s="6" t="n">
        <f aca="false">Assumptions!C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732.888</v>
      </c>
      <c r="K65" s="6" t="n">
        <f aca="false">Assumptions!C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2198.664</v>
      </c>
      <c r="L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$84,1)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3359.07</v>
      </c>
      <c r="M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$84,2)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5130.216</v>
      </c>
      <c r="N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$84,3)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7389.954</v>
      </c>
      <c r="O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$84,4)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9893.988</v>
      </c>
      <c r="P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$84,5)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12245.337</v>
      </c>
      <c r="Q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$84,6)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14169.168</v>
      </c>
      <c r="R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INDEX(Assumptions!$C$77:$C$84,7)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15268.5</v>
      </c>
      <c r="S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15268.5</v>
      </c>
      <c r="T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15268.5</v>
      </c>
      <c r="U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15268.5</v>
      </c>
      <c r="V65" s="6" t="n">
        <f aca="false">Assumptions!C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D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E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F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G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H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I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+Assumptions!J$32*1*Assumptions!$F$68*13*Assumptions!$E$68*IF(Assumptions!$E$10&gt;=6,Assumptions!$C$93,IF(Assumptions!$E$10&gt;=5,Assumptions!$C$94,IF(Assumptions!$E$10&gt;=4,Assumptions!$C$95,IF(Assumptions!$E$10&gt;=3,Assumptions!$C$96,IF(Assumptions!$E$10&gt;=2,Assumptions!$C$97,1)))))*Assumptions!$C$61</f>
        <v>15268.5</v>
      </c>
    </row>
    <row r="66" customFormat="false" ht="15" hidden="false" customHeight="false" outlineLevel="0" collapsed="false">
      <c r="B66" s="10" t="s">
        <v>404</v>
      </c>
      <c r="C66" s="6" t="n">
        <v>0</v>
      </c>
      <c r="D66" s="6" t="n">
        <v>0</v>
      </c>
      <c r="E66" s="6" t="n">
        <f aca="false">Assumptions!C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0</v>
      </c>
      <c r="F66" s="6" t="n">
        <f aca="false">Assumptions!C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0</v>
      </c>
      <c r="G66" s="6" t="n">
        <f aca="false">Assumptions!C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0</v>
      </c>
      <c r="H66" s="6" t="n">
        <f aca="false">Assumptions!C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0</v>
      </c>
      <c r="I66" s="6" t="n">
        <f aca="false">Assumptions!C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0</v>
      </c>
      <c r="J66" s="6" t="n">
        <f aca="false">Assumptions!C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0</v>
      </c>
      <c r="K66" s="6" t="n">
        <f aca="false">Assumptions!C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794.664</v>
      </c>
      <c r="L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$84,1)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1589.328</v>
      </c>
      <c r="M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$84,2)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2450.214</v>
      </c>
      <c r="N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$84,3)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3708.432</v>
      </c>
      <c r="O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$84,4)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5231.538</v>
      </c>
      <c r="P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$84,5)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6887.088</v>
      </c>
      <c r="Q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$84,6)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8310.861</v>
      </c>
      <c r="R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INDEX(Assumptions!$C$77:$C$84,7)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9535.968</v>
      </c>
      <c r="S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9933.3</v>
      </c>
      <c r="T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9933.3</v>
      </c>
      <c r="U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9933.3</v>
      </c>
      <c r="V66" s="6" t="n">
        <f aca="false">Assumptions!C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D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E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F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G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H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I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+Assumptions!J$33*1*Assumptions!$F$68*13*Assumptions!$E$68*IF(Assumptions!$F$10&gt;=6,Assumptions!$C$93,IF(Assumptions!$F$10&gt;=5,Assumptions!$C$94,IF(Assumptions!$F$10&gt;=4,Assumptions!$C$95,IF(Assumptions!$F$10&gt;=3,Assumptions!$C$96,IF(Assumptions!$F$10&gt;=2,Assumptions!$C$97,1)))))*Assumptions!$C$61</f>
        <v>9933.3</v>
      </c>
    </row>
    <row r="67" customFormat="false" ht="15" hidden="false" customHeight="false" outlineLevel="0" collapsed="false">
      <c r="B67" s="10" t="s">
        <v>405</v>
      </c>
      <c r="C67" s="6" t="n">
        <v>0</v>
      </c>
      <c r="D67" s="6" t="n">
        <v>0</v>
      </c>
      <c r="E67" s="6" t="n">
        <f aca="false">Assumptions!C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F67" s="6" t="n">
        <f aca="false">Assumptions!C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G67" s="6" t="n">
        <f aca="false">Assumptions!C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H67" s="6" t="n">
        <f aca="false">Assumptions!C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I67" s="6" t="n">
        <f aca="false">Assumptions!C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J67" s="6" t="n">
        <f aca="false">Assumptions!C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K67" s="6" t="n">
        <f aca="false">Assumptions!C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0</v>
      </c>
      <c r="L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$84,1)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821.34</v>
      </c>
      <c r="M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$84,2)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1232.01</v>
      </c>
      <c r="N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$84,3)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1916.46</v>
      </c>
      <c r="O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$84,4)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2874.69</v>
      </c>
      <c r="P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$84,5)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3969.81</v>
      </c>
      <c r="Q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$84,6)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5133.375</v>
      </c>
      <c r="R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INDEX(Assumptions!$C$77:$C$84,7)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6023.16</v>
      </c>
      <c r="S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6844.5</v>
      </c>
      <c r="T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6844.5</v>
      </c>
      <c r="U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6844.5</v>
      </c>
      <c r="V67" s="6" t="n">
        <f aca="false">Assumptions!C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D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E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F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G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H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I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+Assumptions!J$34*1*Assumptions!$F$68*13*Assumptions!$E$68*IF(Assumptions!$G$10&gt;=6,Assumptions!$C$93,IF(Assumptions!$G$10&gt;=5,Assumptions!$C$94,IF(Assumptions!$G$10&gt;=4,Assumptions!$C$95,IF(Assumptions!$G$10&gt;=3,Assumptions!$C$96,IF(Assumptions!$G$10&gt;=2,Assumptions!$C$97,1)))))*Assumptions!$C$61</f>
        <v>6844.5</v>
      </c>
    </row>
    <row r="68" customFormat="false" ht="15" hidden="false" customHeight="false" outlineLevel="0" collapsed="false">
      <c r="B68" s="1" t="s">
        <v>408</v>
      </c>
      <c r="C68" s="21" t="n">
        <f aca="false">C63+C64+C65+C66+C67</f>
        <v>0</v>
      </c>
      <c r="D68" s="21" t="n">
        <f aca="false">D63+D64+D65+D66+D67</f>
        <v>0</v>
      </c>
      <c r="E68" s="21" t="n">
        <f aca="false">E63+E64+E65+E66+E67</f>
        <v>0</v>
      </c>
      <c r="F68" s="21" t="n">
        <f aca="false">F63+F64+F65+F66+F67</f>
        <v>0</v>
      </c>
      <c r="G68" s="21" t="n">
        <f aca="false">G63+G64+G65+G66+G67</f>
        <v>0</v>
      </c>
      <c r="H68" s="21" t="n">
        <f aca="false">H63+H64+H65+H66+H67</f>
        <v>1053</v>
      </c>
      <c r="I68" s="21" t="n">
        <f aca="false">I63+I64+I65+I66+I67</f>
        <v>3396.978</v>
      </c>
      <c r="J68" s="21" t="n">
        <f aca="false">J63+J64+J65+J66+J67</f>
        <v>6680.583</v>
      </c>
      <c r="K68" s="21" t="n">
        <f aca="false">K63+K64+K65+K66+K67</f>
        <v>12066.327</v>
      </c>
      <c r="L68" s="21" t="n">
        <f aca="false">L63+L64+L65+L66+L67</f>
        <v>19004.193</v>
      </c>
      <c r="M68" s="21" t="n">
        <f aca="false">M63+M64+M65+M66+M67</f>
        <v>26853.84</v>
      </c>
      <c r="N68" s="21" t="n">
        <f aca="false">N63+N64+N65+N66+N67</f>
        <v>35791.0605</v>
      </c>
      <c r="O68" s="21" t="n">
        <f aca="false">O63+O64+O65+O66+O67</f>
        <v>44881.3755</v>
      </c>
      <c r="P68" s="21" t="n">
        <f aca="false">P63+P64+P65+P66+P67</f>
        <v>52629.057</v>
      </c>
      <c r="Q68" s="21" t="n">
        <f aca="false">Q63+Q64+Q65+Q66+Q67</f>
        <v>57904.704</v>
      </c>
      <c r="R68" s="21" t="n">
        <f aca="false">R63+R64+R65+R66+R67</f>
        <v>61118.928</v>
      </c>
      <c r="S68" s="21" t="n">
        <f aca="false">S63+S64+S65+S66+S67</f>
        <v>62337.6</v>
      </c>
      <c r="T68" s="21" t="n">
        <f aca="false">T63+T64+T65+T66+T67</f>
        <v>62337.6</v>
      </c>
      <c r="U68" s="21" t="n">
        <f aca="false">U63+U64+U65+U66+U67</f>
        <v>62337.6</v>
      </c>
      <c r="V68" s="21" t="n">
        <f aca="false">V63+V64+V65+V66+V67</f>
        <v>62337.6</v>
      </c>
    </row>
    <row r="70" customFormat="false" ht="15" hidden="false" customHeight="false" outlineLevel="0" collapsed="false">
      <c r="B70" s="22" t="s">
        <v>409</v>
      </c>
    </row>
    <row r="71" customFormat="false" ht="15" hidden="false" customHeight="false" outlineLevel="0" collapsed="false">
      <c r="B71" s="10" t="s">
        <v>401</v>
      </c>
      <c r="C71" s="6" t="n">
        <v>0</v>
      </c>
      <c r="D71" s="6" t="n">
        <v>0</v>
      </c>
      <c r="E71" s="6" t="n">
        <v>0</v>
      </c>
      <c r="F71" s="6" t="n">
        <f aca="false">Assumptions!C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G71" s="6" t="n">
        <f aca="false">Assumptions!C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H71" s="6" t="n">
        <f aca="false">Assumptions!C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I71" s="6" t="n">
        <f aca="false">Assumptions!C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3822</v>
      </c>
      <c r="J71" s="6" t="n">
        <f aca="false">Assumptions!C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9555</v>
      </c>
      <c r="K71" s="6" t="n">
        <f aca="false">Assumptions!C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14651</v>
      </c>
      <c r="L71" s="6" t="n">
        <f aca="false">Assumptions!C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22295</v>
      </c>
      <c r="M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$84,1)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31850</v>
      </c>
      <c r="N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$84,2)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42360.5</v>
      </c>
      <c r="O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$84,3)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51915.5</v>
      </c>
      <c r="P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$84,4)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59878</v>
      </c>
      <c r="Q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$84,5)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63700</v>
      </c>
      <c r="R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$84,6)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63700</v>
      </c>
      <c r="S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$84,7)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63700</v>
      </c>
      <c r="T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63700</v>
      </c>
      <c r="U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63700</v>
      </c>
      <c r="V71" s="6" t="n">
        <f aca="false">Assumptions!C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$69*13*Assumptions!$E$69*IF(Assumptions!$C$10&gt;=6,Assumptions!$C$93,IF(Assumptions!$C$10&gt;=5,Assumptions!$C$94,IF(Assumptions!$C$10&gt;=4,Assumptions!$C$95,IF(Assumptions!$C$10&gt;=3,Assumptions!$C$96,IF(Assumptions!$C$10&gt;=2,Assumptions!$C$97,1)))))*Assumptions!$C$60</f>
        <v>63700</v>
      </c>
    </row>
    <row r="72" customFormat="false" ht="15" hidden="false" customHeight="false" outlineLevel="0" collapsed="false">
      <c r="B72" s="10" t="s">
        <v>402</v>
      </c>
      <c r="C72" s="6" t="n">
        <v>0</v>
      </c>
      <c r="D72" s="6" t="n">
        <v>0</v>
      </c>
      <c r="E72" s="6" t="n">
        <v>0</v>
      </c>
      <c r="F72" s="6" t="n">
        <f aca="false">Assumptions!C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G72" s="6" t="n">
        <f aca="false">Assumptions!C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H72" s="6" t="n">
        <f aca="false">Assumptions!C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I72" s="6" t="n">
        <f aca="false">Assumptions!C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J72" s="6" t="n">
        <f aca="false">Assumptions!C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2774.772</v>
      </c>
      <c r="K72" s="6" t="n">
        <f aca="false">Assumptions!C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6936.93</v>
      </c>
      <c r="L72" s="6" t="n">
        <f aca="false">Assumptions!C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10636.626</v>
      </c>
      <c r="M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$84,1)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16186.17</v>
      </c>
      <c r="N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$84,2)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23123.1</v>
      </c>
      <c r="O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$84,3)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30753.723</v>
      </c>
      <c r="P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$84,4)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37690.653</v>
      </c>
      <c r="Q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$84,5)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43471.428</v>
      </c>
      <c r="R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$84,6)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46246.2</v>
      </c>
      <c r="S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$84,7)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46246.2</v>
      </c>
      <c r="T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46246.2</v>
      </c>
      <c r="U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46246.2</v>
      </c>
      <c r="V72" s="6" t="n">
        <f aca="false">Assumptions!C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$69*13*Assumptions!$E$69*IF(Assumptions!$D$10&gt;=6,Assumptions!$C$93,IF(Assumptions!$D$10&gt;=5,Assumptions!$C$94,IF(Assumptions!$D$10&gt;=4,Assumptions!$C$95,IF(Assumptions!$D$10&gt;=3,Assumptions!$C$96,IF(Assumptions!$D$10&gt;=2,Assumptions!$C$97,1)))))*Assumptions!$C$60</f>
        <v>46246.2</v>
      </c>
    </row>
    <row r="73" customFormat="false" ht="15" hidden="false" customHeight="false" outlineLevel="0" collapsed="false">
      <c r="B73" s="10" t="s">
        <v>403</v>
      </c>
      <c r="C73" s="6" t="n">
        <v>0</v>
      </c>
      <c r="D73" s="6" t="n">
        <v>0</v>
      </c>
      <c r="E73" s="6" t="n">
        <v>0</v>
      </c>
      <c r="F73" s="6" t="n">
        <f aca="false">Assumptions!C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G73" s="6" t="n">
        <f aca="false">Assumptions!C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H73" s="6" t="n">
        <f aca="false">Assumptions!C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I73" s="6" t="n">
        <f aca="false">Assumptions!C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J73" s="6" t="n">
        <f aca="false">Assumptions!C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K73" s="6" t="n">
        <f aca="false">Assumptions!C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2660.112</v>
      </c>
      <c r="L73" s="6" t="n">
        <f aca="false">Assumptions!C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7980.336</v>
      </c>
      <c r="M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$84,1)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12192.18</v>
      </c>
      <c r="N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$84,2)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18620.784</v>
      </c>
      <c r="O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$84,3)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26822.796</v>
      </c>
      <c r="P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$84,4)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35911.512</v>
      </c>
      <c r="Q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$84,5)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44446.038</v>
      </c>
      <c r="R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$84,6)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51428.832</v>
      </c>
      <c r="S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$84,7)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55419</v>
      </c>
      <c r="T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55419</v>
      </c>
      <c r="U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55419</v>
      </c>
      <c r="V73" s="6" t="n">
        <f aca="false">Assumptions!C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$69*13*Assumptions!$E$69*IF(Assumptions!$E$10&gt;=6,Assumptions!$C$93,IF(Assumptions!$E$10&gt;=5,Assumptions!$C$94,IF(Assumptions!$E$10&gt;=4,Assumptions!$C$95,IF(Assumptions!$E$10&gt;=3,Assumptions!$C$96,IF(Assumptions!$E$10&gt;=2,Assumptions!$C$97,1)))))*Assumptions!$C$60</f>
        <v>55419</v>
      </c>
    </row>
    <row r="74" customFormat="false" ht="15" hidden="false" customHeight="false" outlineLevel="0" collapsed="false">
      <c r="B74" s="10" t="s">
        <v>404</v>
      </c>
      <c r="C74" s="6" t="n">
        <v>0</v>
      </c>
      <c r="D74" s="6" t="n">
        <v>0</v>
      </c>
      <c r="E74" s="6" t="n">
        <v>0</v>
      </c>
      <c r="F74" s="6" t="n">
        <f aca="false">Assumptions!C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G74" s="6" t="n">
        <f aca="false">Assumptions!C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H74" s="6" t="n">
        <f aca="false">Assumptions!C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I74" s="6" t="n">
        <f aca="false">Assumptions!C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J74" s="6" t="n">
        <f aca="false">Assumptions!C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K74" s="6" t="n">
        <f aca="false">Assumptions!C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L74" s="6" t="n">
        <f aca="false">Assumptions!C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2884.336</v>
      </c>
      <c r="M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$84,1)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5768.672</v>
      </c>
      <c r="N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$84,2)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8893.36933333333</v>
      </c>
      <c r="O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$84,3)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13460.2346666667</v>
      </c>
      <c r="P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$84,4)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18988.5453333333</v>
      </c>
      <c r="Q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$84,5)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24997.5786666667</v>
      </c>
      <c r="R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$84,6)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30165.3473333333</v>
      </c>
      <c r="S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$84,7)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34612.032</v>
      </c>
      <c r="T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36054.2</v>
      </c>
      <c r="U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36054.2</v>
      </c>
      <c r="V74" s="6" t="n">
        <f aca="false">Assumptions!C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$69*13*Assumptions!$E$69*IF(Assumptions!$F$10&gt;=6,Assumptions!$C$93,IF(Assumptions!$F$10&gt;=5,Assumptions!$C$94,IF(Assumptions!$F$10&gt;=4,Assumptions!$C$95,IF(Assumptions!$F$10&gt;=3,Assumptions!$C$96,IF(Assumptions!$F$10&gt;=2,Assumptions!$C$97,1)))))*Assumptions!$C$60</f>
        <v>36054.2</v>
      </c>
    </row>
    <row r="75" customFormat="false" ht="15" hidden="false" customHeight="false" outlineLevel="0" collapsed="false">
      <c r="B75" s="10" t="s">
        <v>405</v>
      </c>
      <c r="C75" s="6" t="n">
        <v>0</v>
      </c>
      <c r="D75" s="6" t="n">
        <v>0</v>
      </c>
      <c r="E75" s="6" t="n">
        <v>0</v>
      </c>
      <c r="F75" s="6" t="n">
        <f aca="false">Assumptions!C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G75" s="6" t="n">
        <f aca="false">Assumptions!C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H75" s="6" t="n">
        <f aca="false">Assumptions!C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I75" s="6" t="n">
        <f aca="false">Assumptions!C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J75" s="6" t="n">
        <f aca="false">Assumptions!C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K75" s="6" t="n">
        <f aca="false">Assumptions!C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L75" s="6" t="n">
        <f aca="false">Assumptions!C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M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$84,1)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2981.16</v>
      </c>
      <c r="N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$84,2)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4471.74</v>
      </c>
      <c r="O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$84,3)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6956.04</v>
      </c>
      <c r="P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$84,4)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10434.06</v>
      </c>
      <c r="Q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$84,5)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14408.94</v>
      </c>
      <c r="R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$84,6)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18632.25</v>
      </c>
      <c r="S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$84,7)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21861.84</v>
      </c>
      <c r="T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24843</v>
      </c>
      <c r="U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24843</v>
      </c>
      <c r="V75" s="6" t="n">
        <f aca="false">Assumptions!C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$69*13*Assumptions!$E$69*IF(Assumptions!$G$10&gt;=6,Assumptions!$C$93,IF(Assumptions!$G$10&gt;=5,Assumptions!$C$94,IF(Assumptions!$G$10&gt;=4,Assumptions!$C$95,IF(Assumptions!$G$10&gt;=3,Assumptions!$C$96,IF(Assumptions!$G$10&gt;=2,Assumptions!$C$97,1)))))*Assumptions!$C$60</f>
        <v>24843</v>
      </c>
    </row>
    <row r="76" customFormat="false" ht="15" hidden="false" customHeight="false" outlineLevel="0" collapsed="false">
      <c r="B76" s="1" t="s">
        <v>410</v>
      </c>
      <c r="C76" s="21" t="n">
        <f aca="false">C71+C72+C73+C74+C75</f>
        <v>0</v>
      </c>
      <c r="D76" s="21" t="n">
        <f aca="false">D71+D72+D73+D74+D75</f>
        <v>0</v>
      </c>
      <c r="E76" s="21" t="n">
        <f aca="false">E71+E72+E73+E74+E75</f>
        <v>0</v>
      </c>
      <c r="F76" s="21" t="n">
        <f aca="false">F71+F72+F73+F74+F75</f>
        <v>0</v>
      </c>
      <c r="G76" s="21" t="n">
        <f aca="false">G71+G72+G73+G74+G75</f>
        <v>0</v>
      </c>
      <c r="H76" s="21" t="n">
        <f aca="false">H71+H72+H73+H74+H75</f>
        <v>0</v>
      </c>
      <c r="I76" s="21" t="n">
        <f aca="false">I71+I72+I73+I74+I75</f>
        <v>3822</v>
      </c>
      <c r="J76" s="21" t="n">
        <f aca="false">J71+J72+J73+J74+J75</f>
        <v>12329.772</v>
      </c>
      <c r="K76" s="21" t="n">
        <f aca="false">K71+K72+K73+K74+K75</f>
        <v>24248.042</v>
      </c>
      <c r="L76" s="21" t="n">
        <f aca="false">L71+L72+L73+L74+L75</f>
        <v>43796.298</v>
      </c>
      <c r="M76" s="21" t="n">
        <f aca="false">M71+M72+M73+M74+M75</f>
        <v>68978.182</v>
      </c>
      <c r="N76" s="21" t="n">
        <f aca="false">N71+N72+N73+N74+N75</f>
        <v>97469.4933333333</v>
      </c>
      <c r="O76" s="21" t="n">
        <f aca="false">O71+O72+O73+O74+O75</f>
        <v>129908.293666667</v>
      </c>
      <c r="P76" s="21" t="n">
        <f aca="false">P71+P72+P73+P74+P75</f>
        <v>162902.770333333</v>
      </c>
      <c r="Q76" s="21" t="n">
        <f aca="false">Q71+Q72+Q73+Q74+Q75</f>
        <v>191023.984666667</v>
      </c>
      <c r="R76" s="21" t="n">
        <f aca="false">R71+R72+R73+R74+R75</f>
        <v>210172.629333333</v>
      </c>
      <c r="S76" s="21" t="n">
        <f aca="false">S71+S72+S73+S74+S75</f>
        <v>221839.072</v>
      </c>
      <c r="T76" s="21" t="n">
        <f aca="false">T71+T72+T73+T74+T75</f>
        <v>226262.4</v>
      </c>
      <c r="U76" s="21" t="n">
        <f aca="false">U71+U72+U73+U74+U75</f>
        <v>226262.4</v>
      </c>
      <c r="V76" s="21" t="n">
        <f aca="false">V71+V72+V73+V74+V75</f>
        <v>226262.4</v>
      </c>
    </row>
    <row r="78" customFormat="false" ht="15" hidden="false" customHeight="false" outlineLevel="0" collapsed="false">
      <c r="B78" s="22" t="s">
        <v>411</v>
      </c>
    </row>
    <row r="79" customFormat="false" ht="15" hidden="false" customHeight="false" outlineLevel="0" collapsed="false">
      <c r="B79" s="10" t="s">
        <v>401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f aca="false">Assumptions!C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H79" s="6" t="n">
        <f aca="false">Assumptions!C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I79" s="6" t="n">
        <f aca="false">Assumptions!C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J79" s="6" t="n">
        <f aca="false">Assumptions!C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6142.5</v>
      </c>
      <c r="K79" s="6" t="n">
        <f aca="false">Assumptions!C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15356.25</v>
      </c>
      <c r="L79" s="6" t="n">
        <f aca="false">Assumptions!C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23546.25</v>
      </c>
      <c r="M79" s="6" t="n">
        <f aca="false">Assumptions!C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35831.25</v>
      </c>
      <c r="N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$84,1)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51187.5</v>
      </c>
      <c r="O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$84,2)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68079.375</v>
      </c>
      <c r="P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$84,3)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83435.625</v>
      </c>
      <c r="Q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$84,4)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96232.5</v>
      </c>
      <c r="R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$84,5)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S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$84,6)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T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$84,7)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U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  <c r="V79" s="6" t="n">
        <f aca="false">Assumptions!C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+Assumptions!J$30*1*Assumptions!$F$70*13*Assumptions!$E$70*IF(Assumptions!$C$10&gt;=6,Assumptions!$C$93,IF(Assumptions!$C$10&gt;=5,Assumptions!$C$94,IF(Assumptions!$C$10&gt;=4,Assumptions!$C$95,IF(Assumptions!$C$10&gt;=3,Assumptions!$C$96,IF(Assumptions!$C$10&gt;=2,Assumptions!$C$97,1)))))*Assumptions!$C$60</f>
        <v>102375</v>
      </c>
    </row>
    <row r="80" customFormat="false" ht="15" hidden="false" customHeight="false" outlineLevel="0" collapsed="false">
      <c r="B80" s="10" t="s">
        <v>402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f aca="false">Assumptions!C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H80" s="6" t="n">
        <f aca="false">Assumptions!C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I80" s="6" t="n">
        <f aca="false">Assumptions!C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J80" s="6" t="n">
        <f aca="false">Assumptions!C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K80" s="6" t="n">
        <f aca="false">Assumptions!C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4459.455</v>
      </c>
      <c r="L80" s="6" t="n">
        <f aca="false">Assumptions!C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11148.6375</v>
      </c>
      <c r="M80" s="6" t="n">
        <f aca="false">Assumptions!C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17094.5775</v>
      </c>
      <c r="N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$84,1)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26013.4875</v>
      </c>
      <c r="O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$84,2)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37162.125</v>
      </c>
      <c r="P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$84,3)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49425.62625</v>
      </c>
      <c r="Q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$84,4)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60574.26375</v>
      </c>
      <c r="R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$84,5)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69864.795</v>
      </c>
      <c r="S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$84,6)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T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$84,7)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U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  <c r="V80" s="6" t="n">
        <f aca="false">Assumptions!C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+Assumptions!J$31*1*Assumptions!$F$70*13*Assumptions!$E$70*IF(Assumptions!$D$10&gt;=6,Assumptions!$C$93,IF(Assumptions!$D$10&gt;=5,Assumptions!$C$94,IF(Assumptions!$D$10&gt;=4,Assumptions!$C$95,IF(Assumptions!$D$10&gt;=3,Assumptions!$C$96,IF(Assumptions!$D$10&gt;=2,Assumptions!$C$97,1)))))*Assumptions!$C$60</f>
        <v>74324.25</v>
      </c>
    </row>
    <row r="81" customFormat="false" ht="15" hidden="false" customHeight="false" outlineLevel="0" collapsed="false">
      <c r="B81" s="10" t="s">
        <v>403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f aca="false">Assumptions!C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H81" s="6" t="n">
        <f aca="false">Assumptions!C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I81" s="6" t="n">
        <f aca="false">Assumptions!C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J81" s="6" t="n">
        <f aca="false">Assumptions!C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K81" s="6" t="n">
        <f aca="false">Assumptions!C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L81" s="6" t="n">
        <f aca="false">Assumptions!C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4275.18</v>
      </c>
      <c r="M81" s="6" t="n">
        <f aca="false">Assumptions!C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12825.54</v>
      </c>
      <c r="N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$84,1)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19594.575</v>
      </c>
      <c r="O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$84,2)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29926.26</v>
      </c>
      <c r="P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$84,3)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43108.065</v>
      </c>
      <c r="Q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$84,4)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57714.93</v>
      </c>
      <c r="R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$84,5)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71431.1325</v>
      </c>
      <c r="S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$84,6)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82653.48</v>
      </c>
      <c r="T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$84,7)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U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  <c r="V81" s="6" t="n">
        <f aca="false">Assumptions!C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+Assumptions!J$32*1*Assumptions!$F$70*13*Assumptions!$E$70*IF(Assumptions!$E$10&gt;=6,Assumptions!$C$93,IF(Assumptions!$E$10&gt;=5,Assumptions!$C$94,IF(Assumptions!$E$10&gt;=4,Assumptions!$C$95,IF(Assumptions!$E$10&gt;=3,Assumptions!$C$96,IF(Assumptions!$E$10&gt;=2,Assumptions!$C$97,1)))))*Assumptions!$C$60</f>
        <v>89066.25</v>
      </c>
    </row>
    <row r="82" customFormat="false" ht="15" hidden="false" customHeight="false" outlineLevel="0" collapsed="false">
      <c r="B82" s="10" t="s">
        <v>404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f aca="false">Assumptions!C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H82" s="6" t="n">
        <f aca="false">Assumptions!C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I82" s="6" t="n">
        <f aca="false">Assumptions!C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J82" s="6" t="n">
        <f aca="false">Assumptions!C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K82" s="6" t="n">
        <f aca="false">Assumptions!C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L82" s="6" t="n">
        <f aca="false">Assumptions!C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M82" s="6" t="n">
        <f aca="false">Assumptions!C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4635.54</v>
      </c>
      <c r="N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$84,1)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9271.08</v>
      </c>
      <c r="O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$84,2)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14292.915</v>
      </c>
      <c r="P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$84,3)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21632.52</v>
      </c>
      <c r="Q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$84,4)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30517.305</v>
      </c>
      <c r="R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$84,5)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40174.68</v>
      </c>
      <c r="S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$84,6)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48480.0225</v>
      </c>
      <c r="T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$84,7)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55626.48</v>
      </c>
      <c r="U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  <c r="V82" s="6" t="n">
        <f aca="false">Assumptions!C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+Assumptions!J$33*1*Assumptions!$F$70*13*Assumptions!$E$70*IF(Assumptions!$F$10&gt;=6,Assumptions!$C$93,IF(Assumptions!$F$10&gt;=5,Assumptions!$C$94,IF(Assumptions!$F$10&gt;=4,Assumptions!$C$95,IF(Assumptions!$F$10&gt;=3,Assumptions!$C$96,IF(Assumptions!$F$10&gt;=2,Assumptions!$C$97,1)))))*Assumptions!$C$60</f>
        <v>57944.25</v>
      </c>
    </row>
    <row r="83" customFormat="false" ht="15" hidden="false" customHeight="false" outlineLevel="0" collapsed="false">
      <c r="B83" s="10" t="s">
        <v>405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f aca="false">Assumptions!C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H83" s="6" t="n">
        <f aca="false">Assumptions!C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I83" s="6" t="n">
        <f aca="false">Assumptions!C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J83" s="6" t="n">
        <f aca="false">Assumptions!C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K83" s="6" t="n">
        <f aca="false">Assumptions!C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L83" s="6" t="n">
        <f aca="false">Assumptions!C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M83" s="6" t="n">
        <f aca="false">Assumptions!C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N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$84,1)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4791.15</v>
      </c>
      <c r="O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$84,2)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7186.725</v>
      </c>
      <c r="P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$84,3)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11179.35</v>
      </c>
      <c r="Q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$84,4)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16769.025</v>
      </c>
      <c r="R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$84,5)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23157.225</v>
      </c>
      <c r="S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$84,6)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29944.6875</v>
      </c>
      <c r="T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$84,7)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35135.1</v>
      </c>
      <c r="U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  <c r="V83" s="6" t="n">
        <f aca="false">Assumptions!C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+Assumptions!J$34*1*Assumptions!$F$70*13*Assumptions!$E$70*IF(Assumptions!$G$10&gt;=6,Assumptions!$C$93,IF(Assumptions!$G$10&gt;=5,Assumptions!$C$94,IF(Assumptions!$G$10&gt;=4,Assumptions!$C$95,IF(Assumptions!$G$10&gt;=3,Assumptions!$C$96,IF(Assumptions!$G$10&gt;=2,Assumptions!$C$97,1)))))*Assumptions!$C$60</f>
        <v>39926.25</v>
      </c>
    </row>
    <row r="84" customFormat="false" ht="15" hidden="false" customHeight="false" outlineLevel="0" collapsed="false">
      <c r="B84" s="1" t="s">
        <v>412</v>
      </c>
      <c r="C84" s="21" t="n">
        <f aca="false">C79+C80+C81+C82+C83</f>
        <v>0</v>
      </c>
      <c r="D84" s="21" t="n">
        <f aca="false">D79+D80+D81+D82+D83</f>
        <v>0</v>
      </c>
      <c r="E84" s="21" t="n">
        <f aca="false">E79+E80+E81+E82+E83</f>
        <v>0</v>
      </c>
      <c r="F84" s="21" t="n">
        <f aca="false">F79+F80+F81+F82+F83</f>
        <v>0</v>
      </c>
      <c r="G84" s="21" t="n">
        <f aca="false">G79+G80+G81+G82+G83</f>
        <v>0</v>
      </c>
      <c r="H84" s="21" t="n">
        <f aca="false">H79+H80+H81+H82+H83</f>
        <v>0</v>
      </c>
      <c r="I84" s="21" t="n">
        <f aca="false">I79+I80+I81+I82+I83</f>
        <v>0</v>
      </c>
      <c r="J84" s="21" t="n">
        <f aca="false">J79+J80+J81+J82+J83</f>
        <v>6142.5</v>
      </c>
      <c r="K84" s="21" t="n">
        <f aca="false">K79+K80+K81+K82+K83</f>
        <v>19815.705</v>
      </c>
      <c r="L84" s="21" t="n">
        <f aca="false">L79+L80+L81+L82+L83</f>
        <v>38970.0675</v>
      </c>
      <c r="M84" s="21" t="n">
        <f aca="false">M79+M80+M81+M82+M83</f>
        <v>70386.9075</v>
      </c>
      <c r="N84" s="21" t="n">
        <f aca="false">N79+N80+N81+N82+N83</f>
        <v>110857.7925</v>
      </c>
      <c r="O84" s="21" t="n">
        <f aca="false">O79+O80+O81+O82+O83</f>
        <v>156647.4</v>
      </c>
      <c r="P84" s="21" t="n">
        <f aca="false">P79+P80+P81+P82+P83</f>
        <v>208781.18625</v>
      </c>
      <c r="Q84" s="21" t="n">
        <f aca="false">Q79+Q80+Q81+Q82+Q83</f>
        <v>261808.02375</v>
      </c>
      <c r="R84" s="21" t="n">
        <f aca="false">R79+R80+R81+R82+R83</f>
        <v>307002.8325</v>
      </c>
      <c r="S84" s="21" t="n">
        <f aca="false">S79+S80+S81+S82+S83</f>
        <v>337777.44</v>
      </c>
      <c r="T84" s="21" t="n">
        <f aca="false">T79+T80+T81+T82+T83</f>
        <v>356527.08</v>
      </c>
      <c r="U84" s="21" t="n">
        <f aca="false">U79+U80+U81+U82+U83</f>
        <v>363636</v>
      </c>
      <c r="V84" s="21" t="n">
        <f aca="false">V79+V80+V81+V82+V83</f>
        <v>363636</v>
      </c>
    </row>
    <row r="86" customFormat="false" ht="15" hidden="false" customHeight="false" outlineLevel="0" collapsed="false">
      <c r="B86" s="22" t="s">
        <v>413</v>
      </c>
    </row>
    <row r="87" customFormat="false" ht="15" hidden="false" customHeight="false" outlineLevel="0" collapsed="false">
      <c r="B87" s="10" t="s">
        <v>401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f aca="false">Assumptions!C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J87" s="6" t="n">
        <f aca="false">Assumptions!C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K87" s="6" t="n">
        <f aca="false">Assumptions!C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0</v>
      </c>
      <c r="L87" s="6" t="n">
        <f aca="false">Assumptions!C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6552</v>
      </c>
      <c r="M87" s="6" t="n">
        <f aca="false">Assumptions!C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16380</v>
      </c>
      <c r="N87" s="6" t="n">
        <f aca="false">Assumptions!C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25116</v>
      </c>
      <c r="O87" s="6" t="n">
        <f aca="false">Assumptions!C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38220</v>
      </c>
      <c r="P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$84,1)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54600</v>
      </c>
      <c r="Q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$84,2)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72618</v>
      </c>
      <c r="R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$84,3)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88998</v>
      </c>
      <c r="S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$84,4)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102648</v>
      </c>
      <c r="T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$84,5)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109200</v>
      </c>
      <c r="U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$84,6)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109200</v>
      </c>
      <c r="V87" s="6" t="n">
        <f aca="false">Assumptions!C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D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E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F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G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H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I$30*1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+Assumptions!J$30*INDEX(Assumptions!$C$77:$C$84,7)*Assumptions!$F$71*13*Assumptions!$E$71*IF(Assumptions!$C$10&gt;=6,Assumptions!$C$93,IF(Assumptions!$C$10&gt;=5,Assumptions!$C$94,IF(Assumptions!$C$10&gt;=4,Assumptions!$C$95,IF(Assumptions!$C$10&gt;=3,Assumptions!$C$96,IF(Assumptions!$C$10&gt;=2,Assumptions!$C$97,1)))))*Assumptions!$C$60</f>
        <v>109200</v>
      </c>
    </row>
    <row r="88" customFormat="false" ht="15" hidden="false" customHeight="false" outlineLevel="0" collapsed="false">
      <c r="B88" s="10" t="s">
        <v>402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f aca="false">Assumptions!C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J88" s="6" t="n">
        <f aca="false">Assumptions!C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K88" s="6" t="n">
        <f aca="false">Assumptions!C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L88" s="6" t="n">
        <f aca="false">Assumptions!C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0</v>
      </c>
      <c r="M88" s="6" t="n">
        <f aca="false">Assumptions!C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4756.752</v>
      </c>
      <c r="N88" s="6" t="n">
        <f aca="false">Assumptions!C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11891.88</v>
      </c>
      <c r="O88" s="6" t="n">
        <f aca="false">Assumptions!C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18234.216</v>
      </c>
      <c r="P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$84,1)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27747.72</v>
      </c>
      <c r="Q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$84,2)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39639.6</v>
      </c>
      <c r="R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$84,3)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52720.668</v>
      </c>
      <c r="S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$84,4)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64612.548</v>
      </c>
      <c r="T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$84,5)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74522.448</v>
      </c>
      <c r="U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$84,6)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79279.2</v>
      </c>
      <c r="V88" s="6" t="n">
        <f aca="false">Assumptions!C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D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E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F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G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H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I$31*1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+Assumptions!J$31*INDEX(Assumptions!$C$77:$C$84,7)*Assumptions!$F$71*13*Assumptions!$E$71*IF(Assumptions!$D$10&gt;=6,Assumptions!$C$93,IF(Assumptions!$D$10&gt;=5,Assumptions!$C$94,IF(Assumptions!$D$10&gt;=4,Assumptions!$C$95,IF(Assumptions!$D$10&gt;=3,Assumptions!$C$96,IF(Assumptions!$D$10&gt;=2,Assumptions!$C$97,1)))))*Assumptions!$C$60</f>
        <v>79279.2</v>
      </c>
    </row>
    <row r="89" customFormat="false" ht="15" hidden="false" customHeight="false" outlineLevel="0" collapsed="false">
      <c r="B89" s="10" t="s">
        <v>403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f aca="false">Assumptions!C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J89" s="6" t="n">
        <f aca="false">Assumptions!C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K89" s="6" t="n">
        <f aca="false">Assumptions!C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L89" s="6" t="n">
        <f aca="false">Assumptions!C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M89" s="6" t="n">
        <f aca="false">Assumptions!C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0</v>
      </c>
      <c r="N89" s="6" t="n">
        <f aca="false">Assumptions!C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4560.192</v>
      </c>
      <c r="O89" s="6" t="n">
        <f aca="false">Assumptions!C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13680.576</v>
      </c>
      <c r="P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$84,1)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20900.88</v>
      </c>
      <c r="Q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$84,2)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31921.344</v>
      </c>
      <c r="R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$84,3)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45981.936</v>
      </c>
      <c r="S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$84,4)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61562.592</v>
      </c>
      <c r="T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$84,5)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76193.208</v>
      </c>
      <c r="U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$84,6)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88163.712</v>
      </c>
      <c r="V89" s="6" t="n">
        <f aca="false">Assumptions!C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D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E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F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G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H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I$32*1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+Assumptions!J$32*INDEX(Assumptions!$C$77:$C$84,7)*Assumptions!$F$71*13*Assumptions!$E$71*IF(Assumptions!$E$10&gt;=6,Assumptions!$C$93,IF(Assumptions!$E$10&gt;=5,Assumptions!$C$94,IF(Assumptions!$E$10&gt;=4,Assumptions!$C$95,IF(Assumptions!$E$10&gt;=3,Assumptions!$C$96,IF(Assumptions!$E$10&gt;=2,Assumptions!$C$97,1)))))*Assumptions!$C$60</f>
        <v>95004</v>
      </c>
    </row>
    <row r="90" customFormat="false" ht="15" hidden="false" customHeight="false" outlineLevel="0" collapsed="false">
      <c r="B90" s="10" t="s">
        <v>404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f aca="false">Assumptions!C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J90" s="6" t="n">
        <f aca="false">Assumptions!C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K90" s="6" t="n">
        <f aca="false">Assumptions!C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L90" s="6" t="n">
        <f aca="false">Assumptions!C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M90" s="6" t="n">
        <f aca="false">Assumptions!C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N90" s="6" t="n">
        <f aca="false">Assumptions!C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0</v>
      </c>
      <c r="O90" s="6" t="n">
        <f aca="false">Assumptions!C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4944.576</v>
      </c>
      <c r="P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$84,1)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9889.152</v>
      </c>
      <c r="Q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$84,2)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15245.776</v>
      </c>
      <c r="R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$84,3)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23074.688</v>
      </c>
      <c r="S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$84,4)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32551.792</v>
      </c>
      <c r="T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$84,5)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42852.992</v>
      </c>
      <c r="U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$84,6)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51712.024</v>
      </c>
      <c r="V90" s="6" t="n">
        <f aca="false">Assumptions!C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D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E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F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G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H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I$33*1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+Assumptions!J$33*INDEX(Assumptions!$C$77:$C$84,7)*Assumptions!$F$71*13*Assumptions!$E$71*IF(Assumptions!$F$10&gt;=6,Assumptions!$C$93,IF(Assumptions!$F$10&gt;=5,Assumptions!$C$94,IF(Assumptions!$F$10&gt;=4,Assumptions!$C$95,IF(Assumptions!$F$10&gt;=3,Assumptions!$C$96,IF(Assumptions!$F$10&gt;=2,Assumptions!$C$97,1)))))*Assumptions!$C$60</f>
        <v>59334.912</v>
      </c>
    </row>
    <row r="91" customFormat="false" ht="15" hidden="false" customHeight="false" outlineLevel="0" collapsed="false">
      <c r="B91" s="10" t="s">
        <v>405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f aca="false">Assumptions!C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J91" s="6" t="n">
        <f aca="false">Assumptions!C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K91" s="6" t="n">
        <f aca="false">Assumptions!C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L91" s="6" t="n">
        <f aca="false">Assumptions!C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M91" s="6" t="n">
        <f aca="false">Assumptions!C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N91" s="6" t="n">
        <f aca="false">Assumptions!C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O91" s="6" t="n">
        <f aca="false">Assumptions!C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0</v>
      </c>
      <c r="P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$84,1)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5110.56</v>
      </c>
      <c r="Q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$84,2)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7665.84</v>
      </c>
      <c r="R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$84,3)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11924.64</v>
      </c>
      <c r="S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$84,4)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17886.96</v>
      </c>
      <c r="T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$84,5)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24701.04</v>
      </c>
      <c r="U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$84,6)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31941</v>
      </c>
      <c r="V91" s="6" t="n">
        <f aca="false">Assumptions!C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D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E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F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G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H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I$34*1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+Assumptions!J$34*INDEX(Assumptions!$C$77:$C$84,7)*Assumptions!$F$71*13*Assumptions!$E$71*IF(Assumptions!$G$10&gt;=6,Assumptions!$C$93,IF(Assumptions!$G$10&gt;=5,Assumptions!$C$94,IF(Assumptions!$G$10&gt;=4,Assumptions!$C$95,IF(Assumptions!$G$10&gt;=3,Assumptions!$C$96,IF(Assumptions!$G$10&gt;=2,Assumptions!$C$97,1)))))*Assumptions!$C$60</f>
        <v>37477.44</v>
      </c>
    </row>
    <row r="92" customFormat="false" ht="15" hidden="false" customHeight="false" outlineLevel="0" collapsed="false">
      <c r="B92" s="1" t="s">
        <v>414</v>
      </c>
      <c r="C92" s="21" t="n">
        <f aca="false">C87+C88+C89+C90+C91</f>
        <v>0</v>
      </c>
      <c r="D92" s="21" t="n">
        <f aca="false">D87+D88+D89+D90+D91</f>
        <v>0</v>
      </c>
      <c r="E92" s="21" t="n">
        <f aca="false">E87+E88+E89+E90+E91</f>
        <v>0</v>
      </c>
      <c r="F92" s="21" t="n">
        <f aca="false">F87+F88+F89+F90+F91</f>
        <v>0</v>
      </c>
      <c r="G92" s="21" t="n">
        <f aca="false">G87+G88+G89+G90+G91</f>
        <v>0</v>
      </c>
      <c r="H92" s="21" t="n">
        <f aca="false">H87+H88+H89+H90+H91</f>
        <v>0</v>
      </c>
      <c r="I92" s="21" t="n">
        <f aca="false">I87+I88+I89+I90+I91</f>
        <v>0</v>
      </c>
      <c r="J92" s="21" t="n">
        <f aca="false">J87+J88+J89+J90+J91</f>
        <v>0</v>
      </c>
      <c r="K92" s="21" t="n">
        <f aca="false">K87+K88+K89+K90+K91</f>
        <v>0</v>
      </c>
      <c r="L92" s="21" t="n">
        <f aca="false">L87+L88+L89+L90+L91</f>
        <v>6552</v>
      </c>
      <c r="M92" s="21" t="n">
        <f aca="false">M87+M88+M89+M90+M91</f>
        <v>21136.752</v>
      </c>
      <c r="N92" s="21" t="n">
        <f aca="false">N87+N88+N89+N90+N91</f>
        <v>41568.072</v>
      </c>
      <c r="O92" s="21" t="n">
        <f aca="false">O87+O88+O89+O90+O91</f>
        <v>75079.368</v>
      </c>
      <c r="P92" s="21" t="n">
        <f aca="false">P87+P88+P89+P90+P91</f>
        <v>118248.312</v>
      </c>
      <c r="Q92" s="21" t="n">
        <f aca="false">Q87+Q88+Q89+Q90+Q91</f>
        <v>167090.56</v>
      </c>
      <c r="R92" s="21" t="n">
        <f aca="false">R87+R88+R89+R90+R91</f>
        <v>222699.932</v>
      </c>
      <c r="S92" s="21" t="n">
        <f aca="false">S87+S88+S89+S90+S91</f>
        <v>279261.892</v>
      </c>
      <c r="T92" s="21" t="n">
        <f aca="false">T87+T88+T89+T90+T91</f>
        <v>327469.688</v>
      </c>
      <c r="U92" s="21" t="n">
        <f aca="false">U87+U88+U89+U90+U91</f>
        <v>360295.936</v>
      </c>
      <c r="V92" s="21" t="n">
        <f aca="false">V87+V88+V89+V90+V91</f>
        <v>380295.552</v>
      </c>
    </row>
    <row r="94" customFormat="false" ht="15" hidden="false" customHeight="false" outlineLevel="0" collapsed="false">
      <c r="B94" s="1" t="s">
        <v>415</v>
      </c>
      <c r="C94" s="21" t="n">
        <f aca="false">C60+C68+C76+C84+C92</f>
        <v>0</v>
      </c>
      <c r="D94" s="21" t="n">
        <f aca="false">D60+D68+D76+D84+D92</f>
        <v>0</v>
      </c>
      <c r="E94" s="21" t="n">
        <f aca="false">E60+E68+E76+E84+E92</f>
        <v>0</v>
      </c>
      <c r="F94" s="21" t="n">
        <f aca="false">F60+F68+F76+F84+F92</f>
        <v>0</v>
      </c>
      <c r="G94" s="21" t="n">
        <f aca="false">G60+G68+G76+G84+G92</f>
        <v>6142.5</v>
      </c>
      <c r="H94" s="21" t="n">
        <f aca="false">H60+H68+H76+H84+H92</f>
        <v>20868.705</v>
      </c>
      <c r="I94" s="21" t="n">
        <f aca="false">I60+I68+I76+I84+I92</f>
        <v>46189.0455</v>
      </c>
      <c r="J94" s="21" t="n">
        <f aca="false">J60+J68+J76+J84+J92</f>
        <v>95539.7625</v>
      </c>
      <c r="K94" s="21" t="n">
        <f aca="false">K60+K68+K76+K84+K92</f>
        <v>166987.8665</v>
      </c>
      <c r="L94" s="21" t="n">
        <f aca="false">L60+L68+L76+L84+L92</f>
        <v>264969.9585</v>
      </c>
      <c r="M94" s="21" t="n">
        <f aca="false">M60+M68+M76+M84+M92</f>
        <v>396136.86775</v>
      </c>
      <c r="N94" s="21" t="n">
        <f aca="false">N60+N68+N76+N84+N92</f>
        <v>547494.442083333</v>
      </c>
      <c r="O94" s="21" t="n">
        <f aca="false">O60+O68+O76+O84+O92</f>
        <v>713519.269666667</v>
      </c>
      <c r="P94" s="21" t="n">
        <f aca="false">P60+P68+P76+P84+P92</f>
        <v>880338.765583333</v>
      </c>
      <c r="Q94" s="21" t="n">
        <f aca="false">Q60+Q68+Q76+Q84+Q92</f>
        <v>1034354.35241667</v>
      </c>
      <c r="R94" s="21" t="n">
        <f aca="false">R60+R68+R76+R84+R92</f>
        <v>1164630.32183333</v>
      </c>
      <c r="S94" s="21" t="n">
        <f aca="false">S60+S68+S76+S84+S92</f>
        <v>1264852.004</v>
      </c>
      <c r="T94" s="21" t="n">
        <f aca="false">T60+T68+T76+T84+T92</f>
        <v>1336232.768</v>
      </c>
      <c r="U94" s="21" t="n">
        <f aca="false">U60+U68+U76+U84+U92</f>
        <v>1376167.936</v>
      </c>
      <c r="V94" s="21" t="n">
        <f aca="false">V60+V68+V76+V84+V92</f>
        <v>1396167.552</v>
      </c>
    </row>
    <row r="96" customFormat="false" ht="15" hidden="false" customHeight="false" outlineLevel="0" collapsed="false">
      <c r="B96" s="1" t="s">
        <v>416</v>
      </c>
    </row>
    <row r="97" customFormat="false" ht="15" hidden="false" customHeight="false" outlineLevel="0" collapsed="false">
      <c r="B97" s="10" t="s">
        <v>44</v>
      </c>
      <c r="C97" s="6" t="n">
        <f aca="false">Assumptions!C$30*MIN(1,Assumptions!$C$101+(0/Assumptions!$C$102)*(1-Assumptions!$C$101))*Assumptions!$C$100*Assumptions!$C$62*3</f>
        <v>0</v>
      </c>
      <c r="D97" s="6" t="n">
        <f aca="false">Assumptions!C$30*MIN(1,Assumptions!$C$101+(1/Assumptions!$C$102)*(1-Assumptions!$C$101))*Assumptions!$C$100*Assumptions!$C$62*3+Assumptions!D$30*MIN(1,Assumptions!$C$101+(0/Assumptions!$C$102)*(1-Assumptions!$C$101))*Assumptions!$C$100*Assumptions!$C$62*3</f>
        <v>0</v>
      </c>
      <c r="E97" s="6" t="n">
        <f aca="false">Assumptions!C$30*MIN(1,Assumptions!$C$101+(2/Assumptions!$C$102)*(1-Assumptions!$C$101))*Assumptions!$C$100*Assumptions!$C$62*3+Assumptions!D$30*MIN(1,Assumptions!$C$101+(1/Assumptions!$C$102)*(1-Assumptions!$C$101))*Assumptions!$C$100*Assumptions!$C$62*3+Assumptions!E$30*MIN(1,Assumptions!$C$101+(0/Assumptions!$C$102)*(1-Assumptions!$C$101))*Assumptions!$C$100*Assumptions!$C$62*3</f>
        <v>0</v>
      </c>
      <c r="F97" s="6" t="n">
        <f aca="false">Assumptions!C$30*MIN(1,Assumptions!$C$101+(3/Assumptions!$C$102)*(1-Assumptions!$C$101))*Assumptions!$C$100*Assumptions!$C$62*3+Assumptions!D$30*MIN(1,Assumptions!$C$101+(2/Assumptions!$C$102)*(1-Assumptions!$C$101))*Assumptions!$C$100*Assumptions!$C$62*3+Assumptions!E$30*MIN(1,Assumptions!$C$101+(1/Assumptions!$C$102)*(1-Assumptions!$C$101))*Assumptions!$C$100*Assumptions!$C$62*3+Assumptions!F$30*MIN(1,Assumptions!$C$101+(0/Assumptions!$C$102)*(1-Assumptions!$C$101))*Assumptions!$C$100*Assumptions!$C$62*3</f>
        <v>11520</v>
      </c>
      <c r="G97" s="6" t="n">
        <f aca="false">Assumptions!C$30*MIN(1,Assumptions!$C$101+(4/Assumptions!$C$102)*(1-Assumptions!$C$101))*Assumptions!$C$100*Assumptions!$C$62*3+Assumptions!D$30*MIN(1,Assumptions!$C$101+(3/Assumptions!$C$102)*(1-Assumptions!$C$101))*Assumptions!$C$100*Assumptions!$C$62*3+Assumptions!E$30*MIN(1,Assumptions!$C$101+(2/Assumptions!$C$102)*(1-Assumptions!$C$101))*Assumptions!$C$100*Assumptions!$C$62*3+Assumptions!F$30*MIN(1,Assumptions!$C$101+(1/Assumptions!$C$102)*(1-Assumptions!$C$101))*Assumptions!$C$100*Assumptions!$C$62*3+Assumptions!G$30*MIN(1,Assumptions!$C$101+(0/Assumptions!$C$102)*(1-Assumptions!$C$101))*Assumptions!$C$100*Assumptions!$C$62*3</f>
        <v>26496</v>
      </c>
      <c r="H97" s="6" t="n">
        <f aca="false">Assumptions!C$30*MIN(1,Assumptions!$C$101+(5/Assumptions!$C$102)*(1-Assumptions!$C$101))*Assumptions!$C$100*Assumptions!$C$62*3+Assumptions!D$30*MIN(1,Assumptions!$C$101+(4/Assumptions!$C$102)*(1-Assumptions!$C$101))*Assumptions!$C$100*Assumptions!$C$62*3+Assumptions!E$30*MIN(1,Assumptions!$C$101+(3/Assumptions!$C$102)*(1-Assumptions!$C$101))*Assumptions!$C$100*Assumptions!$C$62*3+Assumptions!F$30*MIN(1,Assumptions!$C$101+(2/Assumptions!$C$102)*(1-Assumptions!$C$101))*Assumptions!$C$100*Assumptions!$C$62*3+Assumptions!G$30*MIN(1,Assumptions!$C$101+(1/Assumptions!$C$102)*(1-Assumptions!$C$101))*Assumptions!$C$100*Assumptions!$C$62*3+Assumptions!H$30*MIN(1,Assumptions!$C$101+(0/Assumptions!$C$102)*(1-Assumptions!$C$101))*Assumptions!$C$100*Assumptions!$C$62*3</f>
        <v>33408</v>
      </c>
      <c r="I97" s="6" t="n">
        <f aca="false">Assumptions!C$30*MIN(1,Assumptions!$C$101+(6/Assumptions!$C$102)*(1-Assumptions!$C$101))*Assumptions!$C$100*Assumptions!$C$62*3+Assumptions!D$30*MIN(1,Assumptions!$C$101+(5/Assumptions!$C$102)*(1-Assumptions!$C$101))*Assumptions!$C$100*Assumptions!$C$62*3+Assumptions!E$30*MIN(1,Assumptions!$C$101+(4/Assumptions!$C$102)*(1-Assumptions!$C$101))*Assumptions!$C$100*Assumptions!$C$62*3+Assumptions!F$30*MIN(1,Assumptions!$C$101+(3/Assumptions!$C$102)*(1-Assumptions!$C$101))*Assumptions!$C$100*Assumptions!$C$62*3+Assumptions!G$30*MIN(1,Assumptions!$C$101+(2/Assumptions!$C$102)*(1-Assumptions!$C$101))*Assumptions!$C$100*Assumptions!$C$62*3+Assumptions!H$30*MIN(1,Assumptions!$C$101+(1/Assumptions!$C$102)*(1-Assumptions!$C$101))*Assumptions!$C$100*Assumptions!$C$62*3+Assumptions!I$30*MIN(1,Assumptions!$C$101+(0/Assumptions!$C$102)*(1-Assumptions!$C$101))*Assumptions!$C$100*Assumptions!$C$62*3</f>
        <v>40320</v>
      </c>
      <c r="J97" s="6" t="n">
        <f aca="false">Assumptions!C$30*MIN(1,Assumptions!$C$101+(7/Assumptions!$C$102)*(1-Assumptions!$C$101))*Assumptions!$C$100*Assumptions!$C$62*3+Assumptions!D$30*MIN(1,Assumptions!$C$101+(6/Assumptions!$C$102)*(1-Assumptions!$C$101))*Assumptions!$C$100*Assumptions!$C$62*3+Assumptions!E$30*MIN(1,Assumptions!$C$101+(5/Assumptions!$C$102)*(1-Assumptions!$C$101))*Assumptions!$C$100*Assumptions!$C$62*3+Assumptions!F$30*MIN(1,Assumptions!$C$101+(4/Assumptions!$C$102)*(1-Assumptions!$C$101))*Assumptions!$C$100*Assumptions!$C$62*3+Assumptions!G$30*MIN(1,Assumptions!$C$101+(3/Assumptions!$C$102)*(1-Assumptions!$C$101))*Assumptions!$C$100*Assumptions!$C$62*3+Assumptions!H$30*MIN(1,Assumptions!$C$101+(2/Assumptions!$C$102)*(1-Assumptions!$C$101))*Assumptions!$C$100*Assumptions!$C$62*3+Assumptions!I$30*MIN(1,Assumptions!$C$101+(1/Assumptions!$C$102)*(1-Assumptions!$C$101))*Assumptions!$C$100*Assumptions!$C$62*3+Assumptions!J$30*MIN(1,Assumptions!$C$101+(0/Assumptions!$C$102)*(1-Assumptions!$C$101))*Assumptions!$C$100*Assumptions!$C$62*3</f>
        <v>47232</v>
      </c>
      <c r="K97" s="6" t="n">
        <f aca="false">Assumptions!C$30*MIN(1,Assumptions!$C$101+(8/Assumptions!$C$102)*(1-Assumptions!$C$101))*Assumptions!$C$100*Assumptions!$C$62*3+Assumptions!D$30*MIN(1,Assumptions!$C$101+(7/Assumptions!$C$102)*(1-Assumptions!$C$101))*Assumptions!$C$100*Assumptions!$C$62*3+Assumptions!E$30*MIN(1,Assumptions!$C$101+(6/Assumptions!$C$102)*(1-Assumptions!$C$101))*Assumptions!$C$100*Assumptions!$C$62*3+Assumptions!F$30*MIN(1,Assumptions!$C$101+(5/Assumptions!$C$102)*(1-Assumptions!$C$101))*Assumptions!$C$100*Assumptions!$C$62*3+Assumptions!G$30*MIN(1,Assumptions!$C$101+(4/Assumptions!$C$102)*(1-Assumptions!$C$101))*Assumptions!$C$100*Assumptions!$C$62*3+Assumptions!H$30*MIN(1,Assumptions!$C$101+(3/Assumptions!$C$102)*(1-Assumptions!$C$101))*Assumptions!$C$100*Assumptions!$C$62*3+Assumptions!I$30*MIN(1,Assumptions!$C$101+(2/Assumptions!$C$102)*(1-Assumptions!$C$101))*Assumptions!$C$100*Assumptions!$C$62*3+Assumptions!J$30*MIN(1,Assumptions!$C$101+(1/Assumptions!$C$102)*(1-Assumptions!$C$101))*Assumptions!$C$100*Assumptions!$C$62*3</f>
        <v>54144</v>
      </c>
      <c r="L97" s="6" t="n">
        <f aca="false">Assumptions!C$30*MIN(1,Assumptions!$C$101+(9/Assumptions!$C$102)*(1-Assumptions!$C$101))*Assumptions!$C$100*Assumptions!$C$62*3+Assumptions!D$30*MIN(1,Assumptions!$C$101+(8/Assumptions!$C$102)*(1-Assumptions!$C$101))*Assumptions!$C$100*Assumptions!$C$62*3+Assumptions!E$30*MIN(1,Assumptions!$C$101+(7/Assumptions!$C$102)*(1-Assumptions!$C$101))*Assumptions!$C$100*Assumptions!$C$62*3+Assumptions!F$30*MIN(1,Assumptions!$C$101+(6/Assumptions!$C$102)*(1-Assumptions!$C$101))*Assumptions!$C$100*Assumptions!$C$62*3+Assumptions!G$30*MIN(1,Assumptions!$C$101+(5/Assumptions!$C$102)*(1-Assumptions!$C$101))*Assumptions!$C$100*Assumptions!$C$62*3+Assumptions!H$30*MIN(1,Assumptions!$C$101+(4/Assumptions!$C$102)*(1-Assumptions!$C$101))*Assumptions!$C$100*Assumptions!$C$62*3+Assumptions!I$30*MIN(1,Assumptions!$C$101+(3/Assumptions!$C$102)*(1-Assumptions!$C$101))*Assumptions!$C$100*Assumptions!$C$62*3+Assumptions!J$30*MIN(1,Assumptions!$C$101+(2/Assumptions!$C$102)*(1-Assumptions!$C$101))*Assumptions!$C$100*Assumptions!$C$62*3</f>
        <v>57600</v>
      </c>
      <c r="M97" s="6" t="n">
        <f aca="false">Assumptions!C$30*MIN(1,Assumptions!$C$101+(10/Assumptions!$C$102)*(1-Assumptions!$C$101))*Assumptions!$C$100*Assumptions!$C$62*3+Assumptions!D$30*MIN(1,Assumptions!$C$101+(9/Assumptions!$C$102)*(1-Assumptions!$C$101))*Assumptions!$C$100*Assumptions!$C$62*3+Assumptions!E$30*MIN(1,Assumptions!$C$101+(8/Assumptions!$C$102)*(1-Assumptions!$C$101))*Assumptions!$C$100*Assumptions!$C$62*3+Assumptions!F$30*MIN(1,Assumptions!$C$101+(7/Assumptions!$C$102)*(1-Assumptions!$C$101))*Assumptions!$C$100*Assumptions!$C$62*3+Assumptions!G$30*MIN(1,Assumptions!$C$101+(6/Assumptions!$C$102)*(1-Assumptions!$C$101))*Assumptions!$C$100*Assumptions!$C$62*3+Assumptions!H$30*MIN(1,Assumptions!$C$101+(5/Assumptions!$C$102)*(1-Assumptions!$C$101))*Assumptions!$C$100*Assumptions!$C$62*3+Assumptions!I$30*MIN(1,Assumptions!$C$101+(4/Assumptions!$C$102)*(1-Assumptions!$C$101))*Assumptions!$C$100*Assumptions!$C$62*3+Assumptions!J$30*MIN(1,Assumptions!$C$101+(3/Assumptions!$C$102)*(1-Assumptions!$C$101))*Assumptions!$C$100*Assumptions!$C$62*3</f>
        <v>57600</v>
      </c>
      <c r="N97" s="6" t="n">
        <f aca="false">Assumptions!C$30*MIN(1,Assumptions!$C$101+(11/Assumptions!$C$102)*(1-Assumptions!$C$101))*Assumptions!$C$100*Assumptions!$C$62*3+Assumptions!D$30*MIN(1,Assumptions!$C$101+(10/Assumptions!$C$102)*(1-Assumptions!$C$101))*Assumptions!$C$100*Assumptions!$C$62*3+Assumptions!E$30*MIN(1,Assumptions!$C$101+(9/Assumptions!$C$102)*(1-Assumptions!$C$101))*Assumptions!$C$100*Assumptions!$C$62*3+Assumptions!F$30*MIN(1,Assumptions!$C$101+(8/Assumptions!$C$102)*(1-Assumptions!$C$101))*Assumptions!$C$100*Assumptions!$C$62*3+Assumptions!G$30*MIN(1,Assumptions!$C$101+(7/Assumptions!$C$102)*(1-Assumptions!$C$101))*Assumptions!$C$100*Assumptions!$C$62*3+Assumptions!H$30*MIN(1,Assumptions!$C$101+(6/Assumptions!$C$102)*(1-Assumptions!$C$101))*Assumptions!$C$100*Assumptions!$C$62*3+Assumptions!I$30*MIN(1,Assumptions!$C$101+(5/Assumptions!$C$102)*(1-Assumptions!$C$101))*Assumptions!$C$100*Assumptions!$C$62*3+Assumptions!J$30*MIN(1,Assumptions!$C$101+(4/Assumptions!$C$102)*(1-Assumptions!$C$101))*Assumptions!$C$100*Assumptions!$C$62*3</f>
        <v>57600</v>
      </c>
      <c r="O97" s="6" t="n">
        <f aca="false">Assumptions!C$30*MIN(1,Assumptions!$C$101+(12/Assumptions!$C$102)*(1-Assumptions!$C$101))*Assumptions!$C$100*Assumptions!$C$62*3+Assumptions!D$30*MIN(1,Assumptions!$C$101+(11/Assumptions!$C$102)*(1-Assumptions!$C$101))*Assumptions!$C$100*Assumptions!$C$62*3+Assumptions!E$30*MIN(1,Assumptions!$C$101+(10/Assumptions!$C$102)*(1-Assumptions!$C$101))*Assumptions!$C$100*Assumptions!$C$62*3+Assumptions!F$30*MIN(1,Assumptions!$C$101+(9/Assumptions!$C$102)*(1-Assumptions!$C$101))*Assumptions!$C$100*Assumptions!$C$62*3+Assumptions!G$30*MIN(1,Assumptions!$C$101+(8/Assumptions!$C$102)*(1-Assumptions!$C$101))*Assumptions!$C$100*Assumptions!$C$62*3+Assumptions!H$30*MIN(1,Assumptions!$C$101+(7/Assumptions!$C$102)*(1-Assumptions!$C$101))*Assumptions!$C$100*Assumptions!$C$62*3+Assumptions!I$30*MIN(1,Assumptions!$C$101+(6/Assumptions!$C$102)*(1-Assumptions!$C$101))*Assumptions!$C$100*Assumptions!$C$62*3+Assumptions!J$30*MIN(1,Assumptions!$C$101+(5/Assumptions!$C$102)*(1-Assumptions!$C$101))*Assumptions!$C$100*Assumptions!$C$62*3</f>
        <v>57600</v>
      </c>
      <c r="P97" s="6" t="n">
        <f aca="false">Assumptions!C$30*MIN(1,Assumptions!$C$101+(13/Assumptions!$C$102)*(1-Assumptions!$C$101))*Assumptions!$C$100*Assumptions!$C$62*3+Assumptions!D$30*MIN(1,Assumptions!$C$101+(12/Assumptions!$C$102)*(1-Assumptions!$C$101))*Assumptions!$C$100*Assumptions!$C$62*3+Assumptions!E$30*MIN(1,Assumptions!$C$101+(11/Assumptions!$C$102)*(1-Assumptions!$C$101))*Assumptions!$C$100*Assumptions!$C$62*3+Assumptions!F$30*MIN(1,Assumptions!$C$101+(10/Assumptions!$C$102)*(1-Assumptions!$C$101))*Assumptions!$C$100*Assumptions!$C$62*3+Assumptions!G$30*MIN(1,Assumptions!$C$101+(9/Assumptions!$C$102)*(1-Assumptions!$C$101))*Assumptions!$C$100*Assumptions!$C$62*3+Assumptions!H$30*MIN(1,Assumptions!$C$101+(8/Assumptions!$C$102)*(1-Assumptions!$C$101))*Assumptions!$C$100*Assumptions!$C$62*3+Assumptions!I$30*MIN(1,Assumptions!$C$101+(7/Assumptions!$C$102)*(1-Assumptions!$C$101))*Assumptions!$C$100*Assumptions!$C$62*3+Assumptions!J$30*MIN(1,Assumptions!$C$101+(6/Assumptions!$C$102)*(1-Assumptions!$C$101))*Assumptions!$C$100*Assumptions!$C$62*3</f>
        <v>57600</v>
      </c>
      <c r="Q97" s="6" t="n">
        <f aca="false">Assumptions!C$30*MIN(1,Assumptions!$C$101+(14/Assumptions!$C$102)*(1-Assumptions!$C$101))*Assumptions!$C$100*Assumptions!$C$62*3+Assumptions!D$30*MIN(1,Assumptions!$C$101+(13/Assumptions!$C$102)*(1-Assumptions!$C$101))*Assumptions!$C$100*Assumptions!$C$62*3+Assumptions!E$30*MIN(1,Assumptions!$C$101+(12/Assumptions!$C$102)*(1-Assumptions!$C$101))*Assumptions!$C$100*Assumptions!$C$62*3+Assumptions!F$30*MIN(1,Assumptions!$C$101+(11/Assumptions!$C$102)*(1-Assumptions!$C$101))*Assumptions!$C$100*Assumptions!$C$62*3+Assumptions!G$30*MIN(1,Assumptions!$C$101+(10/Assumptions!$C$102)*(1-Assumptions!$C$101))*Assumptions!$C$100*Assumptions!$C$62*3+Assumptions!H$30*MIN(1,Assumptions!$C$101+(9/Assumptions!$C$102)*(1-Assumptions!$C$101))*Assumptions!$C$100*Assumptions!$C$62*3+Assumptions!I$30*MIN(1,Assumptions!$C$101+(8/Assumptions!$C$102)*(1-Assumptions!$C$101))*Assumptions!$C$100*Assumptions!$C$62*3+Assumptions!J$30*MIN(1,Assumptions!$C$101+(7/Assumptions!$C$102)*(1-Assumptions!$C$101))*Assumptions!$C$100*Assumptions!$C$62*3</f>
        <v>57600</v>
      </c>
      <c r="R97" s="6" t="n">
        <f aca="false">Assumptions!C$30*MIN(1,Assumptions!$C$101+(15/Assumptions!$C$102)*(1-Assumptions!$C$101))*Assumptions!$C$100*Assumptions!$C$62*3+Assumptions!D$30*MIN(1,Assumptions!$C$101+(14/Assumptions!$C$102)*(1-Assumptions!$C$101))*Assumptions!$C$100*Assumptions!$C$62*3+Assumptions!E$30*MIN(1,Assumptions!$C$101+(13/Assumptions!$C$102)*(1-Assumptions!$C$101))*Assumptions!$C$100*Assumptions!$C$62*3+Assumptions!F$30*MIN(1,Assumptions!$C$101+(12/Assumptions!$C$102)*(1-Assumptions!$C$101))*Assumptions!$C$100*Assumptions!$C$62*3+Assumptions!G$30*MIN(1,Assumptions!$C$101+(11/Assumptions!$C$102)*(1-Assumptions!$C$101))*Assumptions!$C$100*Assumptions!$C$62*3+Assumptions!H$30*MIN(1,Assumptions!$C$101+(10/Assumptions!$C$102)*(1-Assumptions!$C$101))*Assumptions!$C$100*Assumptions!$C$62*3+Assumptions!I$30*MIN(1,Assumptions!$C$101+(9/Assumptions!$C$102)*(1-Assumptions!$C$101))*Assumptions!$C$100*Assumptions!$C$62*3+Assumptions!J$30*MIN(1,Assumptions!$C$101+(8/Assumptions!$C$102)*(1-Assumptions!$C$101))*Assumptions!$C$100*Assumptions!$C$62*3</f>
        <v>57600</v>
      </c>
      <c r="S97" s="6" t="n">
        <f aca="false">Assumptions!C$30*MIN(1,Assumptions!$C$101+(16/Assumptions!$C$102)*(1-Assumptions!$C$101))*Assumptions!$C$100*Assumptions!$C$62*3+Assumptions!D$30*MIN(1,Assumptions!$C$101+(15/Assumptions!$C$102)*(1-Assumptions!$C$101))*Assumptions!$C$100*Assumptions!$C$62*3+Assumptions!E$30*MIN(1,Assumptions!$C$101+(14/Assumptions!$C$102)*(1-Assumptions!$C$101))*Assumptions!$C$100*Assumptions!$C$62*3+Assumptions!F$30*MIN(1,Assumptions!$C$101+(13/Assumptions!$C$102)*(1-Assumptions!$C$101))*Assumptions!$C$100*Assumptions!$C$62*3+Assumptions!G$30*MIN(1,Assumptions!$C$101+(12/Assumptions!$C$102)*(1-Assumptions!$C$101))*Assumptions!$C$100*Assumptions!$C$62*3+Assumptions!H$30*MIN(1,Assumptions!$C$101+(11/Assumptions!$C$102)*(1-Assumptions!$C$101))*Assumptions!$C$100*Assumptions!$C$62*3+Assumptions!I$30*MIN(1,Assumptions!$C$101+(10/Assumptions!$C$102)*(1-Assumptions!$C$101))*Assumptions!$C$100*Assumptions!$C$62*3+Assumptions!J$30*MIN(1,Assumptions!$C$101+(9/Assumptions!$C$102)*(1-Assumptions!$C$101))*Assumptions!$C$100*Assumptions!$C$62*3</f>
        <v>57600</v>
      </c>
      <c r="T97" s="6" t="n">
        <f aca="false">Assumptions!C$30*MIN(1,Assumptions!$C$101+(17/Assumptions!$C$102)*(1-Assumptions!$C$101))*Assumptions!$C$100*Assumptions!$C$62*3+Assumptions!D$30*MIN(1,Assumptions!$C$101+(16/Assumptions!$C$102)*(1-Assumptions!$C$101))*Assumptions!$C$100*Assumptions!$C$62*3+Assumptions!E$30*MIN(1,Assumptions!$C$101+(15/Assumptions!$C$102)*(1-Assumptions!$C$101))*Assumptions!$C$100*Assumptions!$C$62*3+Assumptions!F$30*MIN(1,Assumptions!$C$101+(14/Assumptions!$C$102)*(1-Assumptions!$C$101))*Assumptions!$C$100*Assumptions!$C$62*3+Assumptions!G$30*MIN(1,Assumptions!$C$101+(13/Assumptions!$C$102)*(1-Assumptions!$C$101))*Assumptions!$C$100*Assumptions!$C$62*3+Assumptions!H$30*MIN(1,Assumptions!$C$101+(12/Assumptions!$C$102)*(1-Assumptions!$C$101))*Assumptions!$C$100*Assumptions!$C$62*3+Assumptions!I$30*MIN(1,Assumptions!$C$101+(11/Assumptions!$C$102)*(1-Assumptions!$C$101))*Assumptions!$C$100*Assumptions!$C$62*3+Assumptions!J$30*MIN(1,Assumptions!$C$101+(10/Assumptions!$C$102)*(1-Assumptions!$C$101))*Assumptions!$C$100*Assumptions!$C$62*3</f>
        <v>57600</v>
      </c>
      <c r="U97" s="6" t="n">
        <f aca="false">Assumptions!C$30*MIN(1,Assumptions!$C$101+(18/Assumptions!$C$102)*(1-Assumptions!$C$101))*Assumptions!$C$100*Assumptions!$C$62*3+Assumptions!D$30*MIN(1,Assumptions!$C$101+(17/Assumptions!$C$102)*(1-Assumptions!$C$101))*Assumptions!$C$100*Assumptions!$C$62*3+Assumptions!E$30*MIN(1,Assumptions!$C$101+(16/Assumptions!$C$102)*(1-Assumptions!$C$101))*Assumptions!$C$100*Assumptions!$C$62*3+Assumptions!F$30*MIN(1,Assumptions!$C$101+(15/Assumptions!$C$102)*(1-Assumptions!$C$101))*Assumptions!$C$100*Assumptions!$C$62*3+Assumptions!G$30*MIN(1,Assumptions!$C$101+(14/Assumptions!$C$102)*(1-Assumptions!$C$101))*Assumptions!$C$100*Assumptions!$C$62*3+Assumptions!H$30*MIN(1,Assumptions!$C$101+(13/Assumptions!$C$102)*(1-Assumptions!$C$101))*Assumptions!$C$100*Assumptions!$C$62*3+Assumptions!I$30*MIN(1,Assumptions!$C$101+(12/Assumptions!$C$102)*(1-Assumptions!$C$101))*Assumptions!$C$100*Assumptions!$C$62*3+Assumptions!J$30*MIN(1,Assumptions!$C$101+(11/Assumptions!$C$102)*(1-Assumptions!$C$101))*Assumptions!$C$100*Assumptions!$C$62*3</f>
        <v>57600</v>
      </c>
      <c r="V97" s="6" t="n">
        <f aca="false">Assumptions!C$30*MIN(1,Assumptions!$C$101+(19/Assumptions!$C$102)*(1-Assumptions!$C$101))*Assumptions!$C$100*Assumptions!$C$62*3+Assumptions!D$30*MIN(1,Assumptions!$C$101+(18/Assumptions!$C$102)*(1-Assumptions!$C$101))*Assumptions!$C$100*Assumptions!$C$62*3+Assumptions!E$30*MIN(1,Assumptions!$C$101+(17/Assumptions!$C$102)*(1-Assumptions!$C$101))*Assumptions!$C$100*Assumptions!$C$62*3+Assumptions!F$30*MIN(1,Assumptions!$C$101+(16/Assumptions!$C$102)*(1-Assumptions!$C$101))*Assumptions!$C$100*Assumptions!$C$62*3+Assumptions!G$30*MIN(1,Assumptions!$C$101+(15/Assumptions!$C$102)*(1-Assumptions!$C$101))*Assumptions!$C$100*Assumptions!$C$62*3+Assumptions!H$30*MIN(1,Assumptions!$C$101+(14/Assumptions!$C$102)*(1-Assumptions!$C$101))*Assumptions!$C$100*Assumptions!$C$62*3+Assumptions!I$30*MIN(1,Assumptions!$C$101+(13/Assumptions!$C$102)*(1-Assumptions!$C$101))*Assumptions!$C$100*Assumptions!$C$62*3+Assumptions!J$30*MIN(1,Assumptions!$C$101+(12/Assumptions!$C$102)*(1-Assumptions!$C$101))*Assumptions!$C$100*Assumptions!$C$62*3</f>
        <v>57600</v>
      </c>
    </row>
    <row r="98" customFormat="false" ht="15" hidden="false" customHeight="false" outlineLevel="0" collapsed="false">
      <c r="B98" s="10" t="s">
        <v>45</v>
      </c>
      <c r="C98" s="6" t="n">
        <f aca="false">Assumptions!C$31*MIN(1,Assumptions!$C$101+(0/Assumptions!$C$102)*(1-Assumptions!$C$101))*Assumptions!$C$100*Assumptions!$C$62*3</f>
        <v>0</v>
      </c>
      <c r="D98" s="6" t="n">
        <f aca="false">Assumptions!C$31*MIN(1,Assumptions!$C$101+(1/Assumptions!$C$102)*(1-Assumptions!$C$101))*Assumptions!$C$100*Assumptions!$C$62*3+Assumptions!D$31*MIN(1,Assumptions!$C$101+(0/Assumptions!$C$102)*(1-Assumptions!$C$101))*Assumptions!$C$100*Assumptions!$C$62*3</f>
        <v>0</v>
      </c>
      <c r="E98" s="6" t="n">
        <f aca="false">Assumptions!C$31*MIN(1,Assumptions!$C$101+(2/Assumptions!$C$102)*(1-Assumptions!$C$101))*Assumptions!$C$100*Assumptions!$C$62*3+Assumptions!D$31*MIN(1,Assumptions!$C$101+(1/Assumptions!$C$102)*(1-Assumptions!$C$101))*Assumptions!$C$100*Assumptions!$C$62*3+Assumptions!E$31*MIN(1,Assumptions!$C$101+(0/Assumptions!$C$102)*(1-Assumptions!$C$101))*Assumptions!$C$100*Assumptions!$C$62*3</f>
        <v>0</v>
      </c>
      <c r="F98" s="6" t="n">
        <f aca="false">Assumptions!C$31*MIN(1,Assumptions!$C$101+(3/Assumptions!$C$102)*(1-Assumptions!$C$101))*Assumptions!$C$100*Assumptions!$C$62*3+Assumptions!D$31*MIN(1,Assumptions!$C$101+(2/Assumptions!$C$102)*(1-Assumptions!$C$101))*Assumptions!$C$100*Assumptions!$C$62*3+Assumptions!E$31*MIN(1,Assumptions!$C$101+(1/Assumptions!$C$102)*(1-Assumptions!$C$101))*Assumptions!$C$100*Assumptions!$C$62*3+Assumptions!F$31*MIN(1,Assumptions!$C$101+(0/Assumptions!$C$102)*(1-Assumptions!$C$101))*Assumptions!$C$100*Assumptions!$C$62*3</f>
        <v>0</v>
      </c>
      <c r="G98" s="6" t="n">
        <f aca="false">Assumptions!C$31*MIN(1,Assumptions!$C$101+(4/Assumptions!$C$102)*(1-Assumptions!$C$101))*Assumptions!$C$100*Assumptions!$C$62*3+Assumptions!D$31*MIN(1,Assumptions!$C$101+(3/Assumptions!$C$102)*(1-Assumptions!$C$101))*Assumptions!$C$100*Assumptions!$C$62*3+Assumptions!E$31*MIN(1,Assumptions!$C$101+(2/Assumptions!$C$102)*(1-Assumptions!$C$101))*Assumptions!$C$100*Assumptions!$C$62*3+Assumptions!F$31*MIN(1,Assumptions!$C$101+(1/Assumptions!$C$102)*(1-Assumptions!$C$101))*Assumptions!$C$100*Assumptions!$C$62*3+Assumptions!G$31*MIN(1,Assumptions!$C$101+(0/Assumptions!$C$102)*(1-Assumptions!$C$101))*Assumptions!$C$100*Assumptions!$C$62*3</f>
        <v>7680</v>
      </c>
      <c r="H98" s="6" t="n">
        <f aca="false">Assumptions!C$31*MIN(1,Assumptions!$C$101+(5/Assumptions!$C$102)*(1-Assumptions!$C$101))*Assumptions!$C$100*Assumptions!$C$62*3+Assumptions!D$31*MIN(1,Assumptions!$C$101+(4/Assumptions!$C$102)*(1-Assumptions!$C$101))*Assumptions!$C$100*Assumptions!$C$62*3+Assumptions!E$31*MIN(1,Assumptions!$C$101+(3/Assumptions!$C$102)*(1-Assumptions!$C$101))*Assumptions!$C$100*Assumptions!$C$62*3+Assumptions!F$31*MIN(1,Assumptions!$C$101+(2/Assumptions!$C$102)*(1-Assumptions!$C$101))*Assumptions!$C$100*Assumptions!$C$62*3+Assumptions!G$31*MIN(1,Assumptions!$C$101+(1/Assumptions!$C$102)*(1-Assumptions!$C$101))*Assumptions!$C$100*Assumptions!$C$62*3+Assumptions!H$31*MIN(1,Assumptions!$C$101+(0/Assumptions!$C$102)*(1-Assumptions!$C$101))*Assumptions!$C$100*Assumptions!$C$62*3</f>
        <v>17664</v>
      </c>
      <c r="I98" s="6" t="n">
        <f aca="false">Assumptions!C$31*MIN(1,Assumptions!$C$101+(6/Assumptions!$C$102)*(1-Assumptions!$C$101))*Assumptions!$C$100*Assumptions!$C$62*3+Assumptions!D$31*MIN(1,Assumptions!$C$101+(5/Assumptions!$C$102)*(1-Assumptions!$C$101))*Assumptions!$C$100*Assumptions!$C$62*3+Assumptions!E$31*MIN(1,Assumptions!$C$101+(4/Assumptions!$C$102)*(1-Assumptions!$C$101))*Assumptions!$C$100*Assumptions!$C$62*3+Assumptions!F$31*MIN(1,Assumptions!$C$101+(3/Assumptions!$C$102)*(1-Assumptions!$C$101))*Assumptions!$C$100*Assumptions!$C$62*3+Assumptions!G$31*MIN(1,Assumptions!$C$101+(2/Assumptions!$C$102)*(1-Assumptions!$C$101))*Assumptions!$C$100*Assumptions!$C$62*3+Assumptions!H$31*MIN(1,Assumptions!$C$101+(1/Assumptions!$C$102)*(1-Assumptions!$C$101))*Assumptions!$C$100*Assumptions!$C$62*3+Assumptions!I$31*MIN(1,Assumptions!$C$101+(0/Assumptions!$C$102)*(1-Assumptions!$C$101))*Assumptions!$C$100*Assumptions!$C$62*3</f>
        <v>22272</v>
      </c>
      <c r="J98" s="6" t="n">
        <f aca="false">Assumptions!C$31*MIN(1,Assumptions!$C$101+(7/Assumptions!$C$102)*(1-Assumptions!$C$101))*Assumptions!$C$100*Assumptions!$C$62*3+Assumptions!D$31*MIN(1,Assumptions!$C$101+(6/Assumptions!$C$102)*(1-Assumptions!$C$101))*Assumptions!$C$100*Assumptions!$C$62*3+Assumptions!E$31*MIN(1,Assumptions!$C$101+(5/Assumptions!$C$102)*(1-Assumptions!$C$101))*Assumptions!$C$100*Assumptions!$C$62*3+Assumptions!F$31*MIN(1,Assumptions!$C$101+(4/Assumptions!$C$102)*(1-Assumptions!$C$101))*Assumptions!$C$100*Assumptions!$C$62*3+Assumptions!G$31*MIN(1,Assumptions!$C$101+(3/Assumptions!$C$102)*(1-Assumptions!$C$101))*Assumptions!$C$100*Assumptions!$C$62*3+Assumptions!H$31*MIN(1,Assumptions!$C$101+(2/Assumptions!$C$102)*(1-Assumptions!$C$101))*Assumptions!$C$100*Assumptions!$C$62*3+Assumptions!I$31*MIN(1,Assumptions!$C$101+(1/Assumptions!$C$102)*(1-Assumptions!$C$101))*Assumptions!$C$100*Assumptions!$C$62*3+Assumptions!J$31*MIN(1,Assumptions!$C$101+(0/Assumptions!$C$102)*(1-Assumptions!$C$101))*Assumptions!$C$100*Assumptions!$C$62*3</f>
        <v>26880</v>
      </c>
      <c r="K98" s="6" t="n">
        <f aca="false">Assumptions!C$31*MIN(1,Assumptions!$C$101+(8/Assumptions!$C$102)*(1-Assumptions!$C$101))*Assumptions!$C$100*Assumptions!$C$62*3+Assumptions!D$31*MIN(1,Assumptions!$C$101+(7/Assumptions!$C$102)*(1-Assumptions!$C$101))*Assumptions!$C$100*Assumptions!$C$62*3+Assumptions!E$31*MIN(1,Assumptions!$C$101+(6/Assumptions!$C$102)*(1-Assumptions!$C$101))*Assumptions!$C$100*Assumptions!$C$62*3+Assumptions!F$31*MIN(1,Assumptions!$C$101+(5/Assumptions!$C$102)*(1-Assumptions!$C$101))*Assumptions!$C$100*Assumptions!$C$62*3+Assumptions!G$31*MIN(1,Assumptions!$C$101+(4/Assumptions!$C$102)*(1-Assumptions!$C$101))*Assumptions!$C$100*Assumptions!$C$62*3+Assumptions!H$31*MIN(1,Assumptions!$C$101+(3/Assumptions!$C$102)*(1-Assumptions!$C$101))*Assumptions!$C$100*Assumptions!$C$62*3+Assumptions!I$31*MIN(1,Assumptions!$C$101+(2/Assumptions!$C$102)*(1-Assumptions!$C$101))*Assumptions!$C$100*Assumptions!$C$62*3+Assumptions!J$31*MIN(1,Assumptions!$C$101+(1/Assumptions!$C$102)*(1-Assumptions!$C$101))*Assumptions!$C$100*Assumptions!$C$62*3</f>
        <v>31488</v>
      </c>
      <c r="L98" s="6" t="n">
        <f aca="false">Assumptions!C$31*MIN(1,Assumptions!$C$101+(9/Assumptions!$C$102)*(1-Assumptions!$C$101))*Assumptions!$C$100*Assumptions!$C$62*3+Assumptions!D$31*MIN(1,Assumptions!$C$101+(8/Assumptions!$C$102)*(1-Assumptions!$C$101))*Assumptions!$C$100*Assumptions!$C$62*3+Assumptions!E$31*MIN(1,Assumptions!$C$101+(7/Assumptions!$C$102)*(1-Assumptions!$C$101))*Assumptions!$C$100*Assumptions!$C$62*3+Assumptions!F$31*MIN(1,Assumptions!$C$101+(6/Assumptions!$C$102)*(1-Assumptions!$C$101))*Assumptions!$C$100*Assumptions!$C$62*3+Assumptions!G$31*MIN(1,Assumptions!$C$101+(5/Assumptions!$C$102)*(1-Assumptions!$C$101))*Assumptions!$C$100*Assumptions!$C$62*3+Assumptions!H$31*MIN(1,Assumptions!$C$101+(4/Assumptions!$C$102)*(1-Assumptions!$C$101))*Assumptions!$C$100*Assumptions!$C$62*3+Assumptions!I$31*MIN(1,Assumptions!$C$101+(3/Assumptions!$C$102)*(1-Assumptions!$C$101))*Assumptions!$C$100*Assumptions!$C$62*3+Assumptions!J$31*MIN(1,Assumptions!$C$101+(2/Assumptions!$C$102)*(1-Assumptions!$C$101))*Assumptions!$C$100*Assumptions!$C$62*3</f>
        <v>36096</v>
      </c>
      <c r="M98" s="6" t="n">
        <f aca="false">Assumptions!C$31*MIN(1,Assumptions!$C$101+(10/Assumptions!$C$102)*(1-Assumptions!$C$101))*Assumptions!$C$100*Assumptions!$C$62*3+Assumptions!D$31*MIN(1,Assumptions!$C$101+(9/Assumptions!$C$102)*(1-Assumptions!$C$101))*Assumptions!$C$100*Assumptions!$C$62*3+Assumptions!E$31*MIN(1,Assumptions!$C$101+(8/Assumptions!$C$102)*(1-Assumptions!$C$101))*Assumptions!$C$100*Assumptions!$C$62*3+Assumptions!F$31*MIN(1,Assumptions!$C$101+(7/Assumptions!$C$102)*(1-Assumptions!$C$101))*Assumptions!$C$100*Assumptions!$C$62*3+Assumptions!G$31*MIN(1,Assumptions!$C$101+(6/Assumptions!$C$102)*(1-Assumptions!$C$101))*Assumptions!$C$100*Assumptions!$C$62*3+Assumptions!H$31*MIN(1,Assumptions!$C$101+(5/Assumptions!$C$102)*(1-Assumptions!$C$101))*Assumptions!$C$100*Assumptions!$C$62*3+Assumptions!I$31*MIN(1,Assumptions!$C$101+(4/Assumptions!$C$102)*(1-Assumptions!$C$101))*Assumptions!$C$100*Assumptions!$C$62*3+Assumptions!J$31*MIN(1,Assumptions!$C$101+(3/Assumptions!$C$102)*(1-Assumptions!$C$101))*Assumptions!$C$100*Assumptions!$C$62*3</f>
        <v>38400</v>
      </c>
      <c r="N98" s="6" t="n">
        <f aca="false">Assumptions!C$31*MIN(1,Assumptions!$C$101+(11/Assumptions!$C$102)*(1-Assumptions!$C$101))*Assumptions!$C$100*Assumptions!$C$62*3+Assumptions!D$31*MIN(1,Assumptions!$C$101+(10/Assumptions!$C$102)*(1-Assumptions!$C$101))*Assumptions!$C$100*Assumptions!$C$62*3+Assumptions!E$31*MIN(1,Assumptions!$C$101+(9/Assumptions!$C$102)*(1-Assumptions!$C$101))*Assumptions!$C$100*Assumptions!$C$62*3+Assumptions!F$31*MIN(1,Assumptions!$C$101+(8/Assumptions!$C$102)*(1-Assumptions!$C$101))*Assumptions!$C$100*Assumptions!$C$62*3+Assumptions!G$31*MIN(1,Assumptions!$C$101+(7/Assumptions!$C$102)*(1-Assumptions!$C$101))*Assumptions!$C$100*Assumptions!$C$62*3+Assumptions!H$31*MIN(1,Assumptions!$C$101+(6/Assumptions!$C$102)*(1-Assumptions!$C$101))*Assumptions!$C$100*Assumptions!$C$62*3+Assumptions!I$31*MIN(1,Assumptions!$C$101+(5/Assumptions!$C$102)*(1-Assumptions!$C$101))*Assumptions!$C$100*Assumptions!$C$62*3+Assumptions!J$31*MIN(1,Assumptions!$C$101+(4/Assumptions!$C$102)*(1-Assumptions!$C$101))*Assumptions!$C$100*Assumptions!$C$62*3</f>
        <v>38400</v>
      </c>
      <c r="O98" s="6" t="n">
        <f aca="false">Assumptions!C$31*MIN(1,Assumptions!$C$101+(12/Assumptions!$C$102)*(1-Assumptions!$C$101))*Assumptions!$C$100*Assumptions!$C$62*3+Assumptions!D$31*MIN(1,Assumptions!$C$101+(11/Assumptions!$C$102)*(1-Assumptions!$C$101))*Assumptions!$C$100*Assumptions!$C$62*3+Assumptions!E$31*MIN(1,Assumptions!$C$101+(10/Assumptions!$C$102)*(1-Assumptions!$C$101))*Assumptions!$C$100*Assumptions!$C$62*3+Assumptions!F$31*MIN(1,Assumptions!$C$101+(9/Assumptions!$C$102)*(1-Assumptions!$C$101))*Assumptions!$C$100*Assumptions!$C$62*3+Assumptions!G$31*MIN(1,Assumptions!$C$101+(8/Assumptions!$C$102)*(1-Assumptions!$C$101))*Assumptions!$C$100*Assumptions!$C$62*3+Assumptions!H$31*MIN(1,Assumptions!$C$101+(7/Assumptions!$C$102)*(1-Assumptions!$C$101))*Assumptions!$C$100*Assumptions!$C$62*3+Assumptions!I$31*MIN(1,Assumptions!$C$101+(6/Assumptions!$C$102)*(1-Assumptions!$C$101))*Assumptions!$C$100*Assumptions!$C$62*3+Assumptions!J$31*MIN(1,Assumptions!$C$101+(5/Assumptions!$C$102)*(1-Assumptions!$C$101))*Assumptions!$C$100*Assumptions!$C$62*3</f>
        <v>38400</v>
      </c>
      <c r="P98" s="6" t="n">
        <f aca="false">Assumptions!C$31*MIN(1,Assumptions!$C$101+(13/Assumptions!$C$102)*(1-Assumptions!$C$101))*Assumptions!$C$100*Assumptions!$C$62*3+Assumptions!D$31*MIN(1,Assumptions!$C$101+(12/Assumptions!$C$102)*(1-Assumptions!$C$101))*Assumptions!$C$100*Assumptions!$C$62*3+Assumptions!E$31*MIN(1,Assumptions!$C$101+(11/Assumptions!$C$102)*(1-Assumptions!$C$101))*Assumptions!$C$100*Assumptions!$C$62*3+Assumptions!F$31*MIN(1,Assumptions!$C$101+(10/Assumptions!$C$102)*(1-Assumptions!$C$101))*Assumptions!$C$100*Assumptions!$C$62*3+Assumptions!G$31*MIN(1,Assumptions!$C$101+(9/Assumptions!$C$102)*(1-Assumptions!$C$101))*Assumptions!$C$100*Assumptions!$C$62*3+Assumptions!H$31*MIN(1,Assumptions!$C$101+(8/Assumptions!$C$102)*(1-Assumptions!$C$101))*Assumptions!$C$100*Assumptions!$C$62*3+Assumptions!I$31*MIN(1,Assumptions!$C$101+(7/Assumptions!$C$102)*(1-Assumptions!$C$101))*Assumptions!$C$100*Assumptions!$C$62*3+Assumptions!J$31*MIN(1,Assumptions!$C$101+(6/Assumptions!$C$102)*(1-Assumptions!$C$101))*Assumptions!$C$100*Assumptions!$C$62*3</f>
        <v>38400</v>
      </c>
      <c r="Q98" s="6" t="n">
        <f aca="false">Assumptions!C$31*MIN(1,Assumptions!$C$101+(14/Assumptions!$C$102)*(1-Assumptions!$C$101))*Assumptions!$C$100*Assumptions!$C$62*3+Assumptions!D$31*MIN(1,Assumptions!$C$101+(13/Assumptions!$C$102)*(1-Assumptions!$C$101))*Assumptions!$C$100*Assumptions!$C$62*3+Assumptions!E$31*MIN(1,Assumptions!$C$101+(12/Assumptions!$C$102)*(1-Assumptions!$C$101))*Assumptions!$C$100*Assumptions!$C$62*3+Assumptions!F$31*MIN(1,Assumptions!$C$101+(11/Assumptions!$C$102)*(1-Assumptions!$C$101))*Assumptions!$C$100*Assumptions!$C$62*3+Assumptions!G$31*MIN(1,Assumptions!$C$101+(10/Assumptions!$C$102)*(1-Assumptions!$C$101))*Assumptions!$C$100*Assumptions!$C$62*3+Assumptions!H$31*MIN(1,Assumptions!$C$101+(9/Assumptions!$C$102)*(1-Assumptions!$C$101))*Assumptions!$C$100*Assumptions!$C$62*3+Assumptions!I$31*MIN(1,Assumptions!$C$101+(8/Assumptions!$C$102)*(1-Assumptions!$C$101))*Assumptions!$C$100*Assumptions!$C$62*3+Assumptions!J$31*MIN(1,Assumptions!$C$101+(7/Assumptions!$C$102)*(1-Assumptions!$C$101))*Assumptions!$C$100*Assumptions!$C$62*3</f>
        <v>38400</v>
      </c>
      <c r="R98" s="6" t="n">
        <f aca="false">Assumptions!C$31*MIN(1,Assumptions!$C$101+(15/Assumptions!$C$102)*(1-Assumptions!$C$101))*Assumptions!$C$100*Assumptions!$C$62*3+Assumptions!D$31*MIN(1,Assumptions!$C$101+(14/Assumptions!$C$102)*(1-Assumptions!$C$101))*Assumptions!$C$100*Assumptions!$C$62*3+Assumptions!E$31*MIN(1,Assumptions!$C$101+(13/Assumptions!$C$102)*(1-Assumptions!$C$101))*Assumptions!$C$100*Assumptions!$C$62*3+Assumptions!F$31*MIN(1,Assumptions!$C$101+(12/Assumptions!$C$102)*(1-Assumptions!$C$101))*Assumptions!$C$100*Assumptions!$C$62*3+Assumptions!G$31*MIN(1,Assumptions!$C$101+(11/Assumptions!$C$102)*(1-Assumptions!$C$101))*Assumptions!$C$100*Assumptions!$C$62*3+Assumptions!H$31*MIN(1,Assumptions!$C$101+(10/Assumptions!$C$102)*(1-Assumptions!$C$101))*Assumptions!$C$100*Assumptions!$C$62*3+Assumptions!I$31*MIN(1,Assumptions!$C$101+(9/Assumptions!$C$102)*(1-Assumptions!$C$101))*Assumptions!$C$100*Assumptions!$C$62*3+Assumptions!J$31*MIN(1,Assumptions!$C$101+(8/Assumptions!$C$102)*(1-Assumptions!$C$101))*Assumptions!$C$100*Assumptions!$C$62*3</f>
        <v>38400</v>
      </c>
      <c r="S98" s="6" t="n">
        <f aca="false">Assumptions!C$31*MIN(1,Assumptions!$C$101+(16/Assumptions!$C$102)*(1-Assumptions!$C$101))*Assumptions!$C$100*Assumptions!$C$62*3+Assumptions!D$31*MIN(1,Assumptions!$C$101+(15/Assumptions!$C$102)*(1-Assumptions!$C$101))*Assumptions!$C$100*Assumptions!$C$62*3+Assumptions!E$31*MIN(1,Assumptions!$C$101+(14/Assumptions!$C$102)*(1-Assumptions!$C$101))*Assumptions!$C$100*Assumptions!$C$62*3+Assumptions!F$31*MIN(1,Assumptions!$C$101+(13/Assumptions!$C$102)*(1-Assumptions!$C$101))*Assumptions!$C$100*Assumptions!$C$62*3+Assumptions!G$31*MIN(1,Assumptions!$C$101+(12/Assumptions!$C$102)*(1-Assumptions!$C$101))*Assumptions!$C$100*Assumptions!$C$62*3+Assumptions!H$31*MIN(1,Assumptions!$C$101+(11/Assumptions!$C$102)*(1-Assumptions!$C$101))*Assumptions!$C$100*Assumptions!$C$62*3+Assumptions!I$31*MIN(1,Assumptions!$C$101+(10/Assumptions!$C$102)*(1-Assumptions!$C$101))*Assumptions!$C$100*Assumptions!$C$62*3+Assumptions!J$31*MIN(1,Assumptions!$C$101+(9/Assumptions!$C$102)*(1-Assumptions!$C$101))*Assumptions!$C$100*Assumptions!$C$62*3</f>
        <v>38400</v>
      </c>
      <c r="T98" s="6" t="n">
        <f aca="false">Assumptions!C$31*MIN(1,Assumptions!$C$101+(17/Assumptions!$C$102)*(1-Assumptions!$C$101))*Assumptions!$C$100*Assumptions!$C$62*3+Assumptions!D$31*MIN(1,Assumptions!$C$101+(16/Assumptions!$C$102)*(1-Assumptions!$C$101))*Assumptions!$C$100*Assumptions!$C$62*3+Assumptions!E$31*MIN(1,Assumptions!$C$101+(15/Assumptions!$C$102)*(1-Assumptions!$C$101))*Assumptions!$C$100*Assumptions!$C$62*3+Assumptions!F$31*MIN(1,Assumptions!$C$101+(14/Assumptions!$C$102)*(1-Assumptions!$C$101))*Assumptions!$C$100*Assumptions!$C$62*3+Assumptions!G$31*MIN(1,Assumptions!$C$101+(13/Assumptions!$C$102)*(1-Assumptions!$C$101))*Assumptions!$C$100*Assumptions!$C$62*3+Assumptions!H$31*MIN(1,Assumptions!$C$101+(12/Assumptions!$C$102)*(1-Assumptions!$C$101))*Assumptions!$C$100*Assumptions!$C$62*3+Assumptions!I$31*MIN(1,Assumptions!$C$101+(11/Assumptions!$C$102)*(1-Assumptions!$C$101))*Assumptions!$C$100*Assumptions!$C$62*3+Assumptions!J$31*MIN(1,Assumptions!$C$101+(10/Assumptions!$C$102)*(1-Assumptions!$C$101))*Assumptions!$C$100*Assumptions!$C$62*3</f>
        <v>38400</v>
      </c>
      <c r="U98" s="6" t="n">
        <f aca="false">Assumptions!C$31*MIN(1,Assumptions!$C$101+(18/Assumptions!$C$102)*(1-Assumptions!$C$101))*Assumptions!$C$100*Assumptions!$C$62*3+Assumptions!D$31*MIN(1,Assumptions!$C$101+(17/Assumptions!$C$102)*(1-Assumptions!$C$101))*Assumptions!$C$100*Assumptions!$C$62*3+Assumptions!E$31*MIN(1,Assumptions!$C$101+(16/Assumptions!$C$102)*(1-Assumptions!$C$101))*Assumptions!$C$100*Assumptions!$C$62*3+Assumptions!F$31*MIN(1,Assumptions!$C$101+(15/Assumptions!$C$102)*(1-Assumptions!$C$101))*Assumptions!$C$100*Assumptions!$C$62*3+Assumptions!G$31*MIN(1,Assumptions!$C$101+(14/Assumptions!$C$102)*(1-Assumptions!$C$101))*Assumptions!$C$100*Assumptions!$C$62*3+Assumptions!H$31*MIN(1,Assumptions!$C$101+(13/Assumptions!$C$102)*(1-Assumptions!$C$101))*Assumptions!$C$100*Assumptions!$C$62*3+Assumptions!I$31*MIN(1,Assumptions!$C$101+(12/Assumptions!$C$102)*(1-Assumptions!$C$101))*Assumptions!$C$100*Assumptions!$C$62*3+Assumptions!J$31*MIN(1,Assumptions!$C$101+(11/Assumptions!$C$102)*(1-Assumptions!$C$101))*Assumptions!$C$100*Assumptions!$C$62*3</f>
        <v>38400</v>
      </c>
      <c r="V98" s="6" t="n">
        <f aca="false">Assumptions!C$31*MIN(1,Assumptions!$C$101+(19/Assumptions!$C$102)*(1-Assumptions!$C$101))*Assumptions!$C$100*Assumptions!$C$62*3+Assumptions!D$31*MIN(1,Assumptions!$C$101+(18/Assumptions!$C$102)*(1-Assumptions!$C$101))*Assumptions!$C$100*Assumptions!$C$62*3+Assumptions!E$31*MIN(1,Assumptions!$C$101+(17/Assumptions!$C$102)*(1-Assumptions!$C$101))*Assumptions!$C$100*Assumptions!$C$62*3+Assumptions!F$31*MIN(1,Assumptions!$C$101+(16/Assumptions!$C$102)*(1-Assumptions!$C$101))*Assumptions!$C$100*Assumptions!$C$62*3+Assumptions!G$31*MIN(1,Assumptions!$C$101+(15/Assumptions!$C$102)*(1-Assumptions!$C$101))*Assumptions!$C$100*Assumptions!$C$62*3+Assumptions!H$31*MIN(1,Assumptions!$C$101+(14/Assumptions!$C$102)*(1-Assumptions!$C$101))*Assumptions!$C$100*Assumptions!$C$62*3+Assumptions!I$31*MIN(1,Assumptions!$C$101+(13/Assumptions!$C$102)*(1-Assumptions!$C$101))*Assumptions!$C$100*Assumptions!$C$62*3+Assumptions!J$31*MIN(1,Assumptions!$C$101+(12/Assumptions!$C$102)*(1-Assumptions!$C$101))*Assumptions!$C$100*Assumptions!$C$62*3</f>
        <v>38400</v>
      </c>
    </row>
    <row r="99" customFormat="false" ht="15" hidden="false" customHeight="false" outlineLevel="0" collapsed="false">
      <c r="B99" s="10" t="s">
        <v>46</v>
      </c>
      <c r="C99" s="6" t="n">
        <f aca="false">Assumptions!C$32*MIN(1,Assumptions!$C$101+(0/Assumptions!$C$102)*(1-Assumptions!$C$101))*Assumptions!$C$100*Assumptions!$C$62*3</f>
        <v>0</v>
      </c>
      <c r="D99" s="6" t="n">
        <f aca="false">Assumptions!C$32*MIN(1,Assumptions!$C$101+(1/Assumptions!$C$102)*(1-Assumptions!$C$101))*Assumptions!$C$100*Assumptions!$C$62*3+Assumptions!D$32*MIN(1,Assumptions!$C$101+(0/Assumptions!$C$102)*(1-Assumptions!$C$101))*Assumptions!$C$100*Assumptions!$C$62*3</f>
        <v>0</v>
      </c>
      <c r="E99" s="6" t="n">
        <f aca="false">Assumptions!C$32*MIN(1,Assumptions!$C$101+(2/Assumptions!$C$102)*(1-Assumptions!$C$101))*Assumptions!$C$100*Assumptions!$C$62*3+Assumptions!D$32*MIN(1,Assumptions!$C$101+(1/Assumptions!$C$102)*(1-Assumptions!$C$101))*Assumptions!$C$100*Assumptions!$C$62*3+Assumptions!E$32*MIN(1,Assumptions!$C$101+(0/Assumptions!$C$102)*(1-Assumptions!$C$101))*Assumptions!$C$100*Assumptions!$C$62*3</f>
        <v>0</v>
      </c>
      <c r="F99" s="6" t="n">
        <f aca="false">Assumptions!C$32*MIN(1,Assumptions!$C$101+(3/Assumptions!$C$102)*(1-Assumptions!$C$101))*Assumptions!$C$100*Assumptions!$C$62*3+Assumptions!D$32*MIN(1,Assumptions!$C$101+(2/Assumptions!$C$102)*(1-Assumptions!$C$101))*Assumptions!$C$100*Assumptions!$C$62*3+Assumptions!E$32*MIN(1,Assumptions!$C$101+(1/Assumptions!$C$102)*(1-Assumptions!$C$101))*Assumptions!$C$100*Assumptions!$C$62*3+Assumptions!F$32*MIN(1,Assumptions!$C$101+(0/Assumptions!$C$102)*(1-Assumptions!$C$101))*Assumptions!$C$100*Assumptions!$C$62*3</f>
        <v>0</v>
      </c>
      <c r="G99" s="6" t="n">
        <f aca="false">Assumptions!C$32*MIN(1,Assumptions!$C$101+(4/Assumptions!$C$102)*(1-Assumptions!$C$101))*Assumptions!$C$100*Assumptions!$C$62*3+Assumptions!D$32*MIN(1,Assumptions!$C$101+(3/Assumptions!$C$102)*(1-Assumptions!$C$101))*Assumptions!$C$100*Assumptions!$C$62*3+Assumptions!E$32*MIN(1,Assumptions!$C$101+(2/Assumptions!$C$102)*(1-Assumptions!$C$101))*Assumptions!$C$100*Assumptions!$C$62*3+Assumptions!F$32*MIN(1,Assumptions!$C$101+(1/Assumptions!$C$102)*(1-Assumptions!$C$101))*Assumptions!$C$100*Assumptions!$C$62*3+Assumptions!G$32*MIN(1,Assumptions!$C$101+(0/Assumptions!$C$102)*(1-Assumptions!$C$101))*Assumptions!$C$100*Assumptions!$C$62*3</f>
        <v>0</v>
      </c>
      <c r="H99" s="6" t="n">
        <f aca="false">Assumptions!C$32*MIN(1,Assumptions!$C$101+(5/Assumptions!$C$102)*(1-Assumptions!$C$101))*Assumptions!$C$100*Assumptions!$C$62*3+Assumptions!D$32*MIN(1,Assumptions!$C$101+(4/Assumptions!$C$102)*(1-Assumptions!$C$101))*Assumptions!$C$100*Assumptions!$C$62*3+Assumptions!E$32*MIN(1,Assumptions!$C$101+(3/Assumptions!$C$102)*(1-Assumptions!$C$101))*Assumptions!$C$100*Assumptions!$C$62*3+Assumptions!F$32*MIN(1,Assumptions!$C$101+(2/Assumptions!$C$102)*(1-Assumptions!$C$101))*Assumptions!$C$100*Assumptions!$C$62*3+Assumptions!G$32*MIN(1,Assumptions!$C$101+(1/Assumptions!$C$102)*(1-Assumptions!$C$101))*Assumptions!$C$100*Assumptions!$C$62*3+Assumptions!H$32*MIN(1,Assumptions!$C$101+(0/Assumptions!$C$102)*(1-Assumptions!$C$101))*Assumptions!$C$100*Assumptions!$C$62*3</f>
        <v>7680</v>
      </c>
      <c r="I99" s="6" t="n">
        <f aca="false">Assumptions!C$32*MIN(1,Assumptions!$C$101+(6/Assumptions!$C$102)*(1-Assumptions!$C$101))*Assumptions!$C$100*Assumptions!$C$62*3+Assumptions!D$32*MIN(1,Assumptions!$C$101+(5/Assumptions!$C$102)*(1-Assumptions!$C$101))*Assumptions!$C$100*Assumptions!$C$62*3+Assumptions!E$32*MIN(1,Assumptions!$C$101+(4/Assumptions!$C$102)*(1-Assumptions!$C$101))*Assumptions!$C$100*Assumptions!$C$62*3+Assumptions!F$32*MIN(1,Assumptions!$C$101+(3/Assumptions!$C$102)*(1-Assumptions!$C$101))*Assumptions!$C$100*Assumptions!$C$62*3+Assumptions!G$32*MIN(1,Assumptions!$C$101+(2/Assumptions!$C$102)*(1-Assumptions!$C$101))*Assumptions!$C$100*Assumptions!$C$62*3+Assumptions!H$32*MIN(1,Assumptions!$C$101+(1/Assumptions!$C$102)*(1-Assumptions!$C$101))*Assumptions!$C$100*Assumptions!$C$62*3+Assumptions!I$32*MIN(1,Assumptions!$C$101+(0/Assumptions!$C$102)*(1-Assumptions!$C$101))*Assumptions!$C$100*Assumptions!$C$62*3</f>
        <v>21504</v>
      </c>
      <c r="J99" s="6" t="n">
        <f aca="false">Assumptions!C$32*MIN(1,Assumptions!$C$101+(7/Assumptions!$C$102)*(1-Assumptions!$C$101))*Assumptions!$C$100*Assumptions!$C$62*3+Assumptions!D$32*MIN(1,Assumptions!$C$101+(6/Assumptions!$C$102)*(1-Assumptions!$C$101))*Assumptions!$C$100*Assumptions!$C$62*3+Assumptions!E$32*MIN(1,Assumptions!$C$101+(5/Assumptions!$C$102)*(1-Assumptions!$C$101))*Assumptions!$C$100*Assumptions!$C$62*3+Assumptions!F$32*MIN(1,Assumptions!$C$101+(4/Assumptions!$C$102)*(1-Assumptions!$C$101))*Assumptions!$C$100*Assumptions!$C$62*3+Assumptions!G$32*MIN(1,Assumptions!$C$101+(3/Assumptions!$C$102)*(1-Assumptions!$C$101))*Assumptions!$C$100*Assumptions!$C$62*3+Assumptions!H$32*MIN(1,Assumptions!$C$101+(2/Assumptions!$C$102)*(1-Assumptions!$C$101))*Assumptions!$C$100*Assumptions!$C$62*3+Assumptions!I$32*MIN(1,Assumptions!$C$101+(1/Assumptions!$C$102)*(1-Assumptions!$C$101))*Assumptions!$C$100*Assumptions!$C$62*3+Assumptions!J$32*MIN(1,Assumptions!$C$101+(0/Assumptions!$C$102)*(1-Assumptions!$C$101))*Assumptions!$C$100*Assumptions!$C$62*3</f>
        <v>27264</v>
      </c>
      <c r="K99" s="6" t="n">
        <f aca="false">Assumptions!C$32*MIN(1,Assumptions!$C$101+(8/Assumptions!$C$102)*(1-Assumptions!$C$101))*Assumptions!$C$100*Assumptions!$C$62*3+Assumptions!D$32*MIN(1,Assumptions!$C$101+(7/Assumptions!$C$102)*(1-Assumptions!$C$101))*Assumptions!$C$100*Assumptions!$C$62*3+Assumptions!E$32*MIN(1,Assumptions!$C$101+(6/Assumptions!$C$102)*(1-Assumptions!$C$101))*Assumptions!$C$100*Assumptions!$C$62*3+Assumptions!F$32*MIN(1,Assumptions!$C$101+(5/Assumptions!$C$102)*(1-Assumptions!$C$101))*Assumptions!$C$100*Assumptions!$C$62*3+Assumptions!G$32*MIN(1,Assumptions!$C$101+(4/Assumptions!$C$102)*(1-Assumptions!$C$101))*Assumptions!$C$100*Assumptions!$C$62*3+Assumptions!H$32*MIN(1,Assumptions!$C$101+(3/Assumptions!$C$102)*(1-Assumptions!$C$101))*Assumptions!$C$100*Assumptions!$C$62*3+Assumptions!I$32*MIN(1,Assumptions!$C$101+(2/Assumptions!$C$102)*(1-Assumptions!$C$101))*Assumptions!$C$100*Assumptions!$C$62*3+Assumptions!J$32*MIN(1,Assumptions!$C$101+(1/Assumptions!$C$102)*(1-Assumptions!$C$101))*Assumptions!$C$100*Assumptions!$C$62*3</f>
        <v>33024</v>
      </c>
      <c r="L99" s="6" t="n">
        <f aca="false">Assumptions!C$32*MIN(1,Assumptions!$C$101+(9/Assumptions!$C$102)*(1-Assumptions!$C$101))*Assumptions!$C$100*Assumptions!$C$62*3+Assumptions!D$32*MIN(1,Assumptions!$C$101+(8/Assumptions!$C$102)*(1-Assumptions!$C$101))*Assumptions!$C$100*Assumptions!$C$62*3+Assumptions!E$32*MIN(1,Assumptions!$C$101+(7/Assumptions!$C$102)*(1-Assumptions!$C$101))*Assumptions!$C$100*Assumptions!$C$62*3+Assumptions!F$32*MIN(1,Assumptions!$C$101+(6/Assumptions!$C$102)*(1-Assumptions!$C$101))*Assumptions!$C$100*Assumptions!$C$62*3+Assumptions!G$32*MIN(1,Assumptions!$C$101+(5/Assumptions!$C$102)*(1-Assumptions!$C$101))*Assumptions!$C$100*Assumptions!$C$62*3+Assumptions!H$32*MIN(1,Assumptions!$C$101+(4/Assumptions!$C$102)*(1-Assumptions!$C$101))*Assumptions!$C$100*Assumptions!$C$62*3+Assumptions!I$32*MIN(1,Assumptions!$C$101+(3/Assumptions!$C$102)*(1-Assumptions!$C$101))*Assumptions!$C$100*Assumptions!$C$62*3+Assumptions!J$32*MIN(1,Assumptions!$C$101+(2/Assumptions!$C$102)*(1-Assumptions!$C$101))*Assumptions!$C$100*Assumptions!$C$62*3</f>
        <v>38784</v>
      </c>
      <c r="M99" s="6" t="n">
        <f aca="false">Assumptions!C$32*MIN(1,Assumptions!$C$101+(10/Assumptions!$C$102)*(1-Assumptions!$C$101))*Assumptions!$C$100*Assumptions!$C$62*3+Assumptions!D$32*MIN(1,Assumptions!$C$101+(9/Assumptions!$C$102)*(1-Assumptions!$C$101))*Assumptions!$C$100*Assumptions!$C$62*3+Assumptions!E$32*MIN(1,Assumptions!$C$101+(8/Assumptions!$C$102)*(1-Assumptions!$C$101))*Assumptions!$C$100*Assumptions!$C$62*3+Assumptions!F$32*MIN(1,Assumptions!$C$101+(7/Assumptions!$C$102)*(1-Assumptions!$C$101))*Assumptions!$C$100*Assumptions!$C$62*3+Assumptions!G$32*MIN(1,Assumptions!$C$101+(6/Assumptions!$C$102)*(1-Assumptions!$C$101))*Assumptions!$C$100*Assumptions!$C$62*3+Assumptions!H$32*MIN(1,Assumptions!$C$101+(5/Assumptions!$C$102)*(1-Assumptions!$C$101))*Assumptions!$C$100*Assumptions!$C$62*3+Assumptions!I$32*MIN(1,Assumptions!$C$101+(4/Assumptions!$C$102)*(1-Assumptions!$C$101))*Assumptions!$C$100*Assumptions!$C$62*3+Assumptions!J$32*MIN(1,Assumptions!$C$101+(3/Assumptions!$C$102)*(1-Assumptions!$C$101))*Assumptions!$C$100*Assumptions!$C$62*3</f>
        <v>44544</v>
      </c>
      <c r="N99" s="6" t="n">
        <f aca="false">Assumptions!C$32*MIN(1,Assumptions!$C$101+(11/Assumptions!$C$102)*(1-Assumptions!$C$101))*Assumptions!$C$100*Assumptions!$C$62*3+Assumptions!D$32*MIN(1,Assumptions!$C$101+(10/Assumptions!$C$102)*(1-Assumptions!$C$101))*Assumptions!$C$100*Assumptions!$C$62*3+Assumptions!E$32*MIN(1,Assumptions!$C$101+(9/Assumptions!$C$102)*(1-Assumptions!$C$101))*Assumptions!$C$100*Assumptions!$C$62*3+Assumptions!F$32*MIN(1,Assumptions!$C$101+(8/Assumptions!$C$102)*(1-Assumptions!$C$101))*Assumptions!$C$100*Assumptions!$C$62*3+Assumptions!G$32*MIN(1,Assumptions!$C$101+(7/Assumptions!$C$102)*(1-Assumptions!$C$101))*Assumptions!$C$100*Assumptions!$C$62*3+Assumptions!H$32*MIN(1,Assumptions!$C$101+(6/Assumptions!$C$102)*(1-Assumptions!$C$101))*Assumptions!$C$100*Assumptions!$C$62*3+Assumptions!I$32*MIN(1,Assumptions!$C$101+(5/Assumptions!$C$102)*(1-Assumptions!$C$101))*Assumptions!$C$100*Assumptions!$C$62*3+Assumptions!J$32*MIN(1,Assumptions!$C$101+(4/Assumptions!$C$102)*(1-Assumptions!$C$101))*Assumptions!$C$100*Assumptions!$C$62*3</f>
        <v>48000</v>
      </c>
      <c r="O99" s="6" t="n">
        <f aca="false">Assumptions!C$32*MIN(1,Assumptions!$C$101+(12/Assumptions!$C$102)*(1-Assumptions!$C$101))*Assumptions!$C$100*Assumptions!$C$62*3+Assumptions!D$32*MIN(1,Assumptions!$C$101+(11/Assumptions!$C$102)*(1-Assumptions!$C$101))*Assumptions!$C$100*Assumptions!$C$62*3+Assumptions!E$32*MIN(1,Assumptions!$C$101+(10/Assumptions!$C$102)*(1-Assumptions!$C$101))*Assumptions!$C$100*Assumptions!$C$62*3+Assumptions!F$32*MIN(1,Assumptions!$C$101+(9/Assumptions!$C$102)*(1-Assumptions!$C$101))*Assumptions!$C$100*Assumptions!$C$62*3+Assumptions!G$32*MIN(1,Assumptions!$C$101+(8/Assumptions!$C$102)*(1-Assumptions!$C$101))*Assumptions!$C$100*Assumptions!$C$62*3+Assumptions!H$32*MIN(1,Assumptions!$C$101+(7/Assumptions!$C$102)*(1-Assumptions!$C$101))*Assumptions!$C$100*Assumptions!$C$62*3+Assumptions!I$32*MIN(1,Assumptions!$C$101+(6/Assumptions!$C$102)*(1-Assumptions!$C$101))*Assumptions!$C$100*Assumptions!$C$62*3+Assumptions!J$32*MIN(1,Assumptions!$C$101+(5/Assumptions!$C$102)*(1-Assumptions!$C$101))*Assumptions!$C$100*Assumptions!$C$62*3</f>
        <v>48000</v>
      </c>
      <c r="P99" s="6" t="n">
        <f aca="false">Assumptions!C$32*MIN(1,Assumptions!$C$101+(13/Assumptions!$C$102)*(1-Assumptions!$C$101))*Assumptions!$C$100*Assumptions!$C$62*3+Assumptions!D$32*MIN(1,Assumptions!$C$101+(12/Assumptions!$C$102)*(1-Assumptions!$C$101))*Assumptions!$C$100*Assumptions!$C$62*3+Assumptions!E$32*MIN(1,Assumptions!$C$101+(11/Assumptions!$C$102)*(1-Assumptions!$C$101))*Assumptions!$C$100*Assumptions!$C$62*3+Assumptions!F$32*MIN(1,Assumptions!$C$101+(10/Assumptions!$C$102)*(1-Assumptions!$C$101))*Assumptions!$C$100*Assumptions!$C$62*3+Assumptions!G$32*MIN(1,Assumptions!$C$101+(9/Assumptions!$C$102)*(1-Assumptions!$C$101))*Assumptions!$C$100*Assumptions!$C$62*3+Assumptions!H$32*MIN(1,Assumptions!$C$101+(8/Assumptions!$C$102)*(1-Assumptions!$C$101))*Assumptions!$C$100*Assumptions!$C$62*3+Assumptions!I$32*MIN(1,Assumptions!$C$101+(7/Assumptions!$C$102)*(1-Assumptions!$C$101))*Assumptions!$C$100*Assumptions!$C$62*3+Assumptions!J$32*MIN(1,Assumptions!$C$101+(6/Assumptions!$C$102)*(1-Assumptions!$C$101))*Assumptions!$C$100*Assumptions!$C$62*3</f>
        <v>48000</v>
      </c>
      <c r="Q99" s="6" t="n">
        <f aca="false">Assumptions!C$32*MIN(1,Assumptions!$C$101+(14/Assumptions!$C$102)*(1-Assumptions!$C$101))*Assumptions!$C$100*Assumptions!$C$62*3+Assumptions!D$32*MIN(1,Assumptions!$C$101+(13/Assumptions!$C$102)*(1-Assumptions!$C$101))*Assumptions!$C$100*Assumptions!$C$62*3+Assumptions!E$32*MIN(1,Assumptions!$C$101+(12/Assumptions!$C$102)*(1-Assumptions!$C$101))*Assumptions!$C$100*Assumptions!$C$62*3+Assumptions!F$32*MIN(1,Assumptions!$C$101+(11/Assumptions!$C$102)*(1-Assumptions!$C$101))*Assumptions!$C$100*Assumptions!$C$62*3+Assumptions!G$32*MIN(1,Assumptions!$C$101+(10/Assumptions!$C$102)*(1-Assumptions!$C$101))*Assumptions!$C$100*Assumptions!$C$62*3+Assumptions!H$32*MIN(1,Assumptions!$C$101+(9/Assumptions!$C$102)*(1-Assumptions!$C$101))*Assumptions!$C$100*Assumptions!$C$62*3+Assumptions!I$32*MIN(1,Assumptions!$C$101+(8/Assumptions!$C$102)*(1-Assumptions!$C$101))*Assumptions!$C$100*Assumptions!$C$62*3+Assumptions!J$32*MIN(1,Assumptions!$C$101+(7/Assumptions!$C$102)*(1-Assumptions!$C$101))*Assumptions!$C$100*Assumptions!$C$62*3</f>
        <v>48000</v>
      </c>
      <c r="R99" s="6" t="n">
        <f aca="false">Assumptions!C$32*MIN(1,Assumptions!$C$101+(15/Assumptions!$C$102)*(1-Assumptions!$C$101))*Assumptions!$C$100*Assumptions!$C$62*3+Assumptions!D$32*MIN(1,Assumptions!$C$101+(14/Assumptions!$C$102)*(1-Assumptions!$C$101))*Assumptions!$C$100*Assumptions!$C$62*3+Assumptions!E$32*MIN(1,Assumptions!$C$101+(13/Assumptions!$C$102)*(1-Assumptions!$C$101))*Assumptions!$C$100*Assumptions!$C$62*3+Assumptions!F$32*MIN(1,Assumptions!$C$101+(12/Assumptions!$C$102)*(1-Assumptions!$C$101))*Assumptions!$C$100*Assumptions!$C$62*3+Assumptions!G$32*MIN(1,Assumptions!$C$101+(11/Assumptions!$C$102)*(1-Assumptions!$C$101))*Assumptions!$C$100*Assumptions!$C$62*3+Assumptions!H$32*MIN(1,Assumptions!$C$101+(10/Assumptions!$C$102)*(1-Assumptions!$C$101))*Assumptions!$C$100*Assumptions!$C$62*3+Assumptions!I$32*MIN(1,Assumptions!$C$101+(9/Assumptions!$C$102)*(1-Assumptions!$C$101))*Assumptions!$C$100*Assumptions!$C$62*3+Assumptions!J$32*MIN(1,Assumptions!$C$101+(8/Assumptions!$C$102)*(1-Assumptions!$C$101))*Assumptions!$C$100*Assumptions!$C$62*3</f>
        <v>48000</v>
      </c>
      <c r="S99" s="6" t="n">
        <f aca="false">Assumptions!C$32*MIN(1,Assumptions!$C$101+(16/Assumptions!$C$102)*(1-Assumptions!$C$101))*Assumptions!$C$100*Assumptions!$C$62*3+Assumptions!D$32*MIN(1,Assumptions!$C$101+(15/Assumptions!$C$102)*(1-Assumptions!$C$101))*Assumptions!$C$100*Assumptions!$C$62*3+Assumptions!E$32*MIN(1,Assumptions!$C$101+(14/Assumptions!$C$102)*(1-Assumptions!$C$101))*Assumptions!$C$100*Assumptions!$C$62*3+Assumptions!F$32*MIN(1,Assumptions!$C$101+(13/Assumptions!$C$102)*(1-Assumptions!$C$101))*Assumptions!$C$100*Assumptions!$C$62*3+Assumptions!G$32*MIN(1,Assumptions!$C$101+(12/Assumptions!$C$102)*(1-Assumptions!$C$101))*Assumptions!$C$100*Assumptions!$C$62*3+Assumptions!H$32*MIN(1,Assumptions!$C$101+(11/Assumptions!$C$102)*(1-Assumptions!$C$101))*Assumptions!$C$100*Assumptions!$C$62*3+Assumptions!I$32*MIN(1,Assumptions!$C$101+(10/Assumptions!$C$102)*(1-Assumptions!$C$101))*Assumptions!$C$100*Assumptions!$C$62*3+Assumptions!J$32*MIN(1,Assumptions!$C$101+(9/Assumptions!$C$102)*(1-Assumptions!$C$101))*Assumptions!$C$100*Assumptions!$C$62*3</f>
        <v>48000</v>
      </c>
      <c r="T99" s="6" t="n">
        <f aca="false">Assumptions!C$32*MIN(1,Assumptions!$C$101+(17/Assumptions!$C$102)*(1-Assumptions!$C$101))*Assumptions!$C$100*Assumptions!$C$62*3+Assumptions!D$32*MIN(1,Assumptions!$C$101+(16/Assumptions!$C$102)*(1-Assumptions!$C$101))*Assumptions!$C$100*Assumptions!$C$62*3+Assumptions!E$32*MIN(1,Assumptions!$C$101+(15/Assumptions!$C$102)*(1-Assumptions!$C$101))*Assumptions!$C$100*Assumptions!$C$62*3+Assumptions!F$32*MIN(1,Assumptions!$C$101+(14/Assumptions!$C$102)*(1-Assumptions!$C$101))*Assumptions!$C$100*Assumptions!$C$62*3+Assumptions!G$32*MIN(1,Assumptions!$C$101+(13/Assumptions!$C$102)*(1-Assumptions!$C$101))*Assumptions!$C$100*Assumptions!$C$62*3+Assumptions!H$32*MIN(1,Assumptions!$C$101+(12/Assumptions!$C$102)*(1-Assumptions!$C$101))*Assumptions!$C$100*Assumptions!$C$62*3+Assumptions!I$32*MIN(1,Assumptions!$C$101+(11/Assumptions!$C$102)*(1-Assumptions!$C$101))*Assumptions!$C$100*Assumptions!$C$62*3+Assumptions!J$32*MIN(1,Assumptions!$C$101+(10/Assumptions!$C$102)*(1-Assumptions!$C$101))*Assumptions!$C$100*Assumptions!$C$62*3</f>
        <v>48000</v>
      </c>
      <c r="U99" s="6" t="n">
        <f aca="false">Assumptions!C$32*MIN(1,Assumptions!$C$101+(18/Assumptions!$C$102)*(1-Assumptions!$C$101))*Assumptions!$C$100*Assumptions!$C$62*3+Assumptions!D$32*MIN(1,Assumptions!$C$101+(17/Assumptions!$C$102)*(1-Assumptions!$C$101))*Assumptions!$C$100*Assumptions!$C$62*3+Assumptions!E$32*MIN(1,Assumptions!$C$101+(16/Assumptions!$C$102)*(1-Assumptions!$C$101))*Assumptions!$C$100*Assumptions!$C$62*3+Assumptions!F$32*MIN(1,Assumptions!$C$101+(15/Assumptions!$C$102)*(1-Assumptions!$C$101))*Assumptions!$C$100*Assumptions!$C$62*3+Assumptions!G$32*MIN(1,Assumptions!$C$101+(14/Assumptions!$C$102)*(1-Assumptions!$C$101))*Assumptions!$C$100*Assumptions!$C$62*3+Assumptions!H$32*MIN(1,Assumptions!$C$101+(13/Assumptions!$C$102)*(1-Assumptions!$C$101))*Assumptions!$C$100*Assumptions!$C$62*3+Assumptions!I$32*MIN(1,Assumptions!$C$101+(12/Assumptions!$C$102)*(1-Assumptions!$C$101))*Assumptions!$C$100*Assumptions!$C$62*3+Assumptions!J$32*MIN(1,Assumptions!$C$101+(11/Assumptions!$C$102)*(1-Assumptions!$C$101))*Assumptions!$C$100*Assumptions!$C$62*3</f>
        <v>48000</v>
      </c>
      <c r="V99" s="6" t="n">
        <f aca="false">Assumptions!C$32*MIN(1,Assumptions!$C$101+(19/Assumptions!$C$102)*(1-Assumptions!$C$101))*Assumptions!$C$100*Assumptions!$C$62*3+Assumptions!D$32*MIN(1,Assumptions!$C$101+(18/Assumptions!$C$102)*(1-Assumptions!$C$101))*Assumptions!$C$100*Assumptions!$C$62*3+Assumptions!E$32*MIN(1,Assumptions!$C$101+(17/Assumptions!$C$102)*(1-Assumptions!$C$101))*Assumptions!$C$100*Assumptions!$C$62*3+Assumptions!F$32*MIN(1,Assumptions!$C$101+(16/Assumptions!$C$102)*(1-Assumptions!$C$101))*Assumptions!$C$100*Assumptions!$C$62*3+Assumptions!G$32*MIN(1,Assumptions!$C$101+(15/Assumptions!$C$102)*(1-Assumptions!$C$101))*Assumptions!$C$100*Assumptions!$C$62*3+Assumptions!H$32*MIN(1,Assumptions!$C$101+(14/Assumptions!$C$102)*(1-Assumptions!$C$101))*Assumptions!$C$100*Assumptions!$C$62*3+Assumptions!I$32*MIN(1,Assumptions!$C$101+(13/Assumptions!$C$102)*(1-Assumptions!$C$101))*Assumptions!$C$100*Assumptions!$C$62*3+Assumptions!J$32*MIN(1,Assumptions!$C$101+(12/Assumptions!$C$102)*(1-Assumptions!$C$101))*Assumptions!$C$100*Assumptions!$C$62*3</f>
        <v>48000</v>
      </c>
    </row>
    <row r="100" customFormat="false" ht="15" hidden="false" customHeight="false" outlineLevel="0" collapsed="false">
      <c r="B100" s="10" t="s">
        <v>47</v>
      </c>
      <c r="C100" s="6" t="n">
        <f aca="false">Assumptions!C$33*MIN(1,Assumptions!$C$101+(0/Assumptions!$C$102)*(1-Assumptions!$C$101))*Assumptions!$C$100*Assumptions!$C$62*3</f>
        <v>0</v>
      </c>
      <c r="D100" s="6" t="n">
        <f aca="false">Assumptions!C$33*MIN(1,Assumptions!$C$101+(1/Assumptions!$C$102)*(1-Assumptions!$C$101))*Assumptions!$C$100*Assumptions!$C$62*3+Assumptions!D$33*MIN(1,Assumptions!$C$101+(0/Assumptions!$C$102)*(1-Assumptions!$C$101))*Assumptions!$C$100*Assumptions!$C$62*3</f>
        <v>0</v>
      </c>
      <c r="E100" s="6" t="n">
        <f aca="false">Assumptions!C$33*MIN(1,Assumptions!$C$101+(2/Assumptions!$C$102)*(1-Assumptions!$C$101))*Assumptions!$C$100*Assumptions!$C$62*3+Assumptions!D$33*MIN(1,Assumptions!$C$101+(1/Assumptions!$C$102)*(1-Assumptions!$C$101))*Assumptions!$C$100*Assumptions!$C$62*3+Assumptions!E$33*MIN(1,Assumptions!$C$101+(0/Assumptions!$C$102)*(1-Assumptions!$C$101))*Assumptions!$C$100*Assumptions!$C$62*3</f>
        <v>0</v>
      </c>
      <c r="F100" s="6" t="n">
        <f aca="false">Assumptions!C$33*MIN(1,Assumptions!$C$101+(3/Assumptions!$C$102)*(1-Assumptions!$C$101))*Assumptions!$C$100*Assumptions!$C$62*3+Assumptions!D$33*MIN(1,Assumptions!$C$101+(2/Assumptions!$C$102)*(1-Assumptions!$C$101))*Assumptions!$C$100*Assumptions!$C$62*3+Assumptions!E$33*MIN(1,Assumptions!$C$101+(1/Assumptions!$C$102)*(1-Assumptions!$C$101))*Assumptions!$C$100*Assumptions!$C$62*3+Assumptions!F$33*MIN(1,Assumptions!$C$101+(0/Assumptions!$C$102)*(1-Assumptions!$C$101))*Assumptions!$C$100*Assumptions!$C$62*3</f>
        <v>0</v>
      </c>
      <c r="G100" s="6" t="n">
        <f aca="false">Assumptions!C$33*MIN(1,Assumptions!$C$101+(4/Assumptions!$C$102)*(1-Assumptions!$C$101))*Assumptions!$C$100*Assumptions!$C$62*3+Assumptions!D$33*MIN(1,Assumptions!$C$101+(3/Assumptions!$C$102)*(1-Assumptions!$C$101))*Assumptions!$C$100*Assumptions!$C$62*3+Assumptions!E$33*MIN(1,Assumptions!$C$101+(2/Assumptions!$C$102)*(1-Assumptions!$C$101))*Assumptions!$C$100*Assumptions!$C$62*3+Assumptions!F$33*MIN(1,Assumptions!$C$101+(1/Assumptions!$C$102)*(1-Assumptions!$C$101))*Assumptions!$C$100*Assumptions!$C$62*3+Assumptions!G$33*MIN(1,Assumptions!$C$101+(0/Assumptions!$C$102)*(1-Assumptions!$C$101))*Assumptions!$C$100*Assumptions!$C$62*3</f>
        <v>0</v>
      </c>
      <c r="H100" s="6" t="n">
        <f aca="false">Assumptions!C$33*MIN(1,Assumptions!$C$101+(5/Assumptions!$C$102)*(1-Assumptions!$C$101))*Assumptions!$C$100*Assumptions!$C$62*3+Assumptions!D$33*MIN(1,Assumptions!$C$101+(4/Assumptions!$C$102)*(1-Assumptions!$C$101))*Assumptions!$C$100*Assumptions!$C$62*3+Assumptions!E$33*MIN(1,Assumptions!$C$101+(3/Assumptions!$C$102)*(1-Assumptions!$C$101))*Assumptions!$C$100*Assumptions!$C$62*3+Assumptions!F$33*MIN(1,Assumptions!$C$101+(2/Assumptions!$C$102)*(1-Assumptions!$C$101))*Assumptions!$C$100*Assumptions!$C$62*3+Assumptions!G$33*MIN(1,Assumptions!$C$101+(1/Assumptions!$C$102)*(1-Assumptions!$C$101))*Assumptions!$C$100*Assumptions!$C$62*3+Assumptions!H$33*MIN(1,Assumptions!$C$101+(0/Assumptions!$C$102)*(1-Assumptions!$C$101))*Assumptions!$C$100*Assumptions!$C$62*3</f>
        <v>0</v>
      </c>
      <c r="I100" s="6" t="n">
        <f aca="false">Assumptions!C$33*MIN(1,Assumptions!$C$101+(6/Assumptions!$C$102)*(1-Assumptions!$C$101))*Assumptions!$C$100*Assumptions!$C$62*3+Assumptions!D$33*MIN(1,Assumptions!$C$101+(5/Assumptions!$C$102)*(1-Assumptions!$C$101))*Assumptions!$C$100*Assumptions!$C$62*3+Assumptions!E$33*MIN(1,Assumptions!$C$101+(4/Assumptions!$C$102)*(1-Assumptions!$C$101))*Assumptions!$C$100*Assumptions!$C$62*3+Assumptions!F$33*MIN(1,Assumptions!$C$101+(3/Assumptions!$C$102)*(1-Assumptions!$C$101))*Assumptions!$C$100*Assumptions!$C$62*3+Assumptions!G$33*MIN(1,Assumptions!$C$101+(2/Assumptions!$C$102)*(1-Assumptions!$C$101))*Assumptions!$C$100*Assumptions!$C$62*3+Assumptions!H$33*MIN(1,Assumptions!$C$101+(1/Assumptions!$C$102)*(1-Assumptions!$C$101))*Assumptions!$C$100*Assumptions!$C$62*3+Assumptions!I$33*MIN(1,Assumptions!$C$101+(0/Assumptions!$C$102)*(1-Assumptions!$C$101))*Assumptions!$C$100*Assumptions!$C$62*3</f>
        <v>7680</v>
      </c>
      <c r="J100" s="6" t="n">
        <f aca="false">Assumptions!C$33*MIN(1,Assumptions!$C$101+(7/Assumptions!$C$102)*(1-Assumptions!$C$101))*Assumptions!$C$100*Assumptions!$C$62*3+Assumptions!D$33*MIN(1,Assumptions!$C$101+(6/Assumptions!$C$102)*(1-Assumptions!$C$101))*Assumptions!$C$100*Assumptions!$C$62*3+Assumptions!E$33*MIN(1,Assumptions!$C$101+(5/Assumptions!$C$102)*(1-Assumptions!$C$101))*Assumptions!$C$100*Assumptions!$C$62*3+Assumptions!F$33*MIN(1,Assumptions!$C$101+(4/Assumptions!$C$102)*(1-Assumptions!$C$101))*Assumptions!$C$100*Assumptions!$C$62*3+Assumptions!G$33*MIN(1,Assumptions!$C$101+(3/Assumptions!$C$102)*(1-Assumptions!$C$101))*Assumptions!$C$100*Assumptions!$C$62*3+Assumptions!H$33*MIN(1,Assumptions!$C$101+(2/Assumptions!$C$102)*(1-Assumptions!$C$101))*Assumptions!$C$100*Assumptions!$C$62*3+Assumptions!I$33*MIN(1,Assumptions!$C$101+(1/Assumptions!$C$102)*(1-Assumptions!$C$101))*Assumptions!$C$100*Assumptions!$C$62*3+Assumptions!J$33*MIN(1,Assumptions!$C$101+(0/Assumptions!$C$102)*(1-Assumptions!$C$101))*Assumptions!$C$100*Assumptions!$C$62*3</f>
        <v>13824</v>
      </c>
      <c r="K100" s="6" t="n">
        <f aca="false">Assumptions!C$33*MIN(1,Assumptions!$C$101+(8/Assumptions!$C$102)*(1-Assumptions!$C$101))*Assumptions!$C$100*Assumptions!$C$62*3+Assumptions!D$33*MIN(1,Assumptions!$C$101+(7/Assumptions!$C$102)*(1-Assumptions!$C$101))*Assumptions!$C$100*Assumptions!$C$62*3+Assumptions!E$33*MIN(1,Assumptions!$C$101+(6/Assumptions!$C$102)*(1-Assumptions!$C$101))*Assumptions!$C$100*Assumptions!$C$62*3+Assumptions!F$33*MIN(1,Assumptions!$C$101+(5/Assumptions!$C$102)*(1-Assumptions!$C$101))*Assumptions!$C$100*Assumptions!$C$62*3+Assumptions!G$33*MIN(1,Assumptions!$C$101+(4/Assumptions!$C$102)*(1-Assumptions!$C$101))*Assumptions!$C$100*Assumptions!$C$62*3+Assumptions!H$33*MIN(1,Assumptions!$C$101+(3/Assumptions!$C$102)*(1-Assumptions!$C$101))*Assumptions!$C$100*Assumptions!$C$62*3+Assumptions!I$33*MIN(1,Assumptions!$C$101+(2/Assumptions!$C$102)*(1-Assumptions!$C$101))*Assumptions!$C$100*Assumptions!$C$62*3+Assumptions!J$33*MIN(1,Assumptions!$C$101+(1/Assumptions!$C$102)*(1-Assumptions!$C$101))*Assumptions!$C$100*Assumptions!$C$62*3</f>
        <v>17280</v>
      </c>
      <c r="L100" s="6" t="n">
        <f aca="false">Assumptions!C$33*MIN(1,Assumptions!$C$101+(9/Assumptions!$C$102)*(1-Assumptions!$C$101))*Assumptions!$C$100*Assumptions!$C$62*3+Assumptions!D$33*MIN(1,Assumptions!$C$101+(8/Assumptions!$C$102)*(1-Assumptions!$C$101))*Assumptions!$C$100*Assumptions!$C$62*3+Assumptions!E$33*MIN(1,Assumptions!$C$101+(7/Assumptions!$C$102)*(1-Assumptions!$C$101))*Assumptions!$C$100*Assumptions!$C$62*3+Assumptions!F$33*MIN(1,Assumptions!$C$101+(6/Assumptions!$C$102)*(1-Assumptions!$C$101))*Assumptions!$C$100*Assumptions!$C$62*3+Assumptions!G$33*MIN(1,Assumptions!$C$101+(5/Assumptions!$C$102)*(1-Assumptions!$C$101))*Assumptions!$C$100*Assumptions!$C$62*3+Assumptions!H$33*MIN(1,Assumptions!$C$101+(4/Assumptions!$C$102)*(1-Assumptions!$C$101))*Assumptions!$C$100*Assumptions!$C$62*3+Assumptions!I$33*MIN(1,Assumptions!$C$101+(3/Assumptions!$C$102)*(1-Assumptions!$C$101))*Assumptions!$C$100*Assumptions!$C$62*3+Assumptions!J$33*MIN(1,Assumptions!$C$101+(2/Assumptions!$C$102)*(1-Assumptions!$C$101))*Assumptions!$C$100*Assumptions!$C$62*3</f>
        <v>20736</v>
      </c>
      <c r="M100" s="6" t="n">
        <f aca="false">Assumptions!C$33*MIN(1,Assumptions!$C$101+(10/Assumptions!$C$102)*(1-Assumptions!$C$101))*Assumptions!$C$100*Assumptions!$C$62*3+Assumptions!D$33*MIN(1,Assumptions!$C$101+(9/Assumptions!$C$102)*(1-Assumptions!$C$101))*Assumptions!$C$100*Assumptions!$C$62*3+Assumptions!E$33*MIN(1,Assumptions!$C$101+(8/Assumptions!$C$102)*(1-Assumptions!$C$101))*Assumptions!$C$100*Assumptions!$C$62*3+Assumptions!F$33*MIN(1,Assumptions!$C$101+(7/Assumptions!$C$102)*(1-Assumptions!$C$101))*Assumptions!$C$100*Assumptions!$C$62*3+Assumptions!G$33*MIN(1,Assumptions!$C$101+(6/Assumptions!$C$102)*(1-Assumptions!$C$101))*Assumptions!$C$100*Assumptions!$C$62*3+Assumptions!H$33*MIN(1,Assumptions!$C$101+(5/Assumptions!$C$102)*(1-Assumptions!$C$101))*Assumptions!$C$100*Assumptions!$C$62*3+Assumptions!I$33*MIN(1,Assumptions!$C$101+(4/Assumptions!$C$102)*(1-Assumptions!$C$101))*Assumptions!$C$100*Assumptions!$C$62*3+Assumptions!J$33*MIN(1,Assumptions!$C$101+(3/Assumptions!$C$102)*(1-Assumptions!$C$101))*Assumptions!$C$100*Assumptions!$C$62*3</f>
        <v>24192</v>
      </c>
      <c r="N100" s="6" t="n">
        <f aca="false">Assumptions!C$33*MIN(1,Assumptions!$C$101+(11/Assumptions!$C$102)*(1-Assumptions!$C$101))*Assumptions!$C$100*Assumptions!$C$62*3+Assumptions!D$33*MIN(1,Assumptions!$C$101+(10/Assumptions!$C$102)*(1-Assumptions!$C$101))*Assumptions!$C$100*Assumptions!$C$62*3+Assumptions!E$33*MIN(1,Assumptions!$C$101+(9/Assumptions!$C$102)*(1-Assumptions!$C$101))*Assumptions!$C$100*Assumptions!$C$62*3+Assumptions!F$33*MIN(1,Assumptions!$C$101+(8/Assumptions!$C$102)*(1-Assumptions!$C$101))*Assumptions!$C$100*Assumptions!$C$62*3+Assumptions!G$33*MIN(1,Assumptions!$C$101+(7/Assumptions!$C$102)*(1-Assumptions!$C$101))*Assumptions!$C$100*Assumptions!$C$62*3+Assumptions!H$33*MIN(1,Assumptions!$C$101+(6/Assumptions!$C$102)*(1-Assumptions!$C$101))*Assumptions!$C$100*Assumptions!$C$62*3+Assumptions!I$33*MIN(1,Assumptions!$C$101+(5/Assumptions!$C$102)*(1-Assumptions!$C$101))*Assumptions!$C$100*Assumptions!$C$62*3+Assumptions!J$33*MIN(1,Assumptions!$C$101+(4/Assumptions!$C$102)*(1-Assumptions!$C$101))*Assumptions!$C$100*Assumptions!$C$62*3</f>
        <v>27648</v>
      </c>
      <c r="O100" s="6" t="n">
        <f aca="false">Assumptions!C$33*MIN(1,Assumptions!$C$101+(12/Assumptions!$C$102)*(1-Assumptions!$C$101))*Assumptions!$C$100*Assumptions!$C$62*3+Assumptions!D$33*MIN(1,Assumptions!$C$101+(11/Assumptions!$C$102)*(1-Assumptions!$C$101))*Assumptions!$C$100*Assumptions!$C$62*3+Assumptions!E$33*MIN(1,Assumptions!$C$101+(10/Assumptions!$C$102)*(1-Assumptions!$C$101))*Assumptions!$C$100*Assumptions!$C$62*3+Assumptions!F$33*MIN(1,Assumptions!$C$101+(9/Assumptions!$C$102)*(1-Assumptions!$C$101))*Assumptions!$C$100*Assumptions!$C$62*3+Assumptions!G$33*MIN(1,Assumptions!$C$101+(8/Assumptions!$C$102)*(1-Assumptions!$C$101))*Assumptions!$C$100*Assumptions!$C$62*3+Assumptions!H$33*MIN(1,Assumptions!$C$101+(7/Assumptions!$C$102)*(1-Assumptions!$C$101))*Assumptions!$C$100*Assumptions!$C$62*3+Assumptions!I$33*MIN(1,Assumptions!$C$101+(6/Assumptions!$C$102)*(1-Assumptions!$C$101))*Assumptions!$C$100*Assumptions!$C$62*3+Assumptions!J$33*MIN(1,Assumptions!$C$101+(5/Assumptions!$C$102)*(1-Assumptions!$C$101))*Assumptions!$C$100*Assumptions!$C$62*3</f>
        <v>28800</v>
      </c>
      <c r="P100" s="6" t="n">
        <f aca="false">Assumptions!C$33*MIN(1,Assumptions!$C$101+(13/Assumptions!$C$102)*(1-Assumptions!$C$101))*Assumptions!$C$100*Assumptions!$C$62*3+Assumptions!D$33*MIN(1,Assumptions!$C$101+(12/Assumptions!$C$102)*(1-Assumptions!$C$101))*Assumptions!$C$100*Assumptions!$C$62*3+Assumptions!E$33*MIN(1,Assumptions!$C$101+(11/Assumptions!$C$102)*(1-Assumptions!$C$101))*Assumptions!$C$100*Assumptions!$C$62*3+Assumptions!F$33*MIN(1,Assumptions!$C$101+(10/Assumptions!$C$102)*(1-Assumptions!$C$101))*Assumptions!$C$100*Assumptions!$C$62*3+Assumptions!G$33*MIN(1,Assumptions!$C$101+(9/Assumptions!$C$102)*(1-Assumptions!$C$101))*Assumptions!$C$100*Assumptions!$C$62*3+Assumptions!H$33*MIN(1,Assumptions!$C$101+(8/Assumptions!$C$102)*(1-Assumptions!$C$101))*Assumptions!$C$100*Assumptions!$C$62*3+Assumptions!I$33*MIN(1,Assumptions!$C$101+(7/Assumptions!$C$102)*(1-Assumptions!$C$101))*Assumptions!$C$100*Assumptions!$C$62*3+Assumptions!J$33*MIN(1,Assumptions!$C$101+(6/Assumptions!$C$102)*(1-Assumptions!$C$101))*Assumptions!$C$100*Assumptions!$C$62*3</f>
        <v>28800</v>
      </c>
      <c r="Q100" s="6" t="n">
        <f aca="false">Assumptions!C$33*MIN(1,Assumptions!$C$101+(14/Assumptions!$C$102)*(1-Assumptions!$C$101))*Assumptions!$C$100*Assumptions!$C$62*3+Assumptions!D$33*MIN(1,Assumptions!$C$101+(13/Assumptions!$C$102)*(1-Assumptions!$C$101))*Assumptions!$C$100*Assumptions!$C$62*3+Assumptions!E$33*MIN(1,Assumptions!$C$101+(12/Assumptions!$C$102)*(1-Assumptions!$C$101))*Assumptions!$C$100*Assumptions!$C$62*3+Assumptions!F$33*MIN(1,Assumptions!$C$101+(11/Assumptions!$C$102)*(1-Assumptions!$C$101))*Assumptions!$C$100*Assumptions!$C$62*3+Assumptions!G$33*MIN(1,Assumptions!$C$101+(10/Assumptions!$C$102)*(1-Assumptions!$C$101))*Assumptions!$C$100*Assumptions!$C$62*3+Assumptions!H$33*MIN(1,Assumptions!$C$101+(9/Assumptions!$C$102)*(1-Assumptions!$C$101))*Assumptions!$C$100*Assumptions!$C$62*3+Assumptions!I$33*MIN(1,Assumptions!$C$101+(8/Assumptions!$C$102)*(1-Assumptions!$C$101))*Assumptions!$C$100*Assumptions!$C$62*3+Assumptions!J$33*MIN(1,Assumptions!$C$101+(7/Assumptions!$C$102)*(1-Assumptions!$C$101))*Assumptions!$C$100*Assumptions!$C$62*3</f>
        <v>28800</v>
      </c>
      <c r="R100" s="6" t="n">
        <f aca="false">Assumptions!C$33*MIN(1,Assumptions!$C$101+(15/Assumptions!$C$102)*(1-Assumptions!$C$101))*Assumptions!$C$100*Assumptions!$C$62*3+Assumptions!D$33*MIN(1,Assumptions!$C$101+(14/Assumptions!$C$102)*(1-Assumptions!$C$101))*Assumptions!$C$100*Assumptions!$C$62*3+Assumptions!E$33*MIN(1,Assumptions!$C$101+(13/Assumptions!$C$102)*(1-Assumptions!$C$101))*Assumptions!$C$100*Assumptions!$C$62*3+Assumptions!F$33*MIN(1,Assumptions!$C$101+(12/Assumptions!$C$102)*(1-Assumptions!$C$101))*Assumptions!$C$100*Assumptions!$C$62*3+Assumptions!G$33*MIN(1,Assumptions!$C$101+(11/Assumptions!$C$102)*(1-Assumptions!$C$101))*Assumptions!$C$100*Assumptions!$C$62*3+Assumptions!H$33*MIN(1,Assumptions!$C$101+(10/Assumptions!$C$102)*(1-Assumptions!$C$101))*Assumptions!$C$100*Assumptions!$C$62*3+Assumptions!I$33*MIN(1,Assumptions!$C$101+(9/Assumptions!$C$102)*(1-Assumptions!$C$101))*Assumptions!$C$100*Assumptions!$C$62*3+Assumptions!J$33*MIN(1,Assumptions!$C$101+(8/Assumptions!$C$102)*(1-Assumptions!$C$101))*Assumptions!$C$100*Assumptions!$C$62*3</f>
        <v>28800</v>
      </c>
      <c r="S100" s="6" t="n">
        <f aca="false">Assumptions!C$33*MIN(1,Assumptions!$C$101+(16/Assumptions!$C$102)*(1-Assumptions!$C$101))*Assumptions!$C$100*Assumptions!$C$62*3+Assumptions!D$33*MIN(1,Assumptions!$C$101+(15/Assumptions!$C$102)*(1-Assumptions!$C$101))*Assumptions!$C$100*Assumptions!$C$62*3+Assumptions!E$33*MIN(1,Assumptions!$C$101+(14/Assumptions!$C$102)*(1-Assumptions!$C$101))*Assumptions!$C$100*Assumptions!$C$62*3+Assumptions!F$33*MIN(1,Assumptions!$C$101+(13/Assumptions!$C$102)*(1-Assumptions!$C$101))*Assumptions!$C$100*Assumptions!$C$62*3+Assumptions!G$33*MIN(1,Assumptions!$C$101+(12/Assumptions!$C$102)*(1-Assumptions!$C$101))*Assumptions!$C$100*Assumptions!$C$62*3+Assumptions!H$33*MIN(1,Assumptions!$C$101+(11/Assumptions!$C$102)*(1-Assumptions!$C$101))*Assumptions!$C$100*Assumptions!$C$62*3+Assumptions!I$33*MIN(1,Assumptions!$C$101+(10/Assumptions!$C$102)*(1-Assumptions!$C$101))*Assumptions!$C$100*Assumptions!$C$62*3+Assumptions!J$33*MIN(1,Assumptions!$C$101+(9/Assumptions!$C$102)*(1-Assumptions!$C$101))*Assumptions!$C$100*Assumptions!$C$62*3</f>
        <v>28800</v>
      </c>
      <c r="T100" s="6" t="n">
        <f aca="false">Assumptions!C$33*MIN(1,Assumptions!$C$101+(17/Assumptions!$C$102)*(1-Assumptions!$C$101))*Assumptions!$C$100*Assumptions!$C$62*3+Assumptions!D$33*MIN(1,Assumptions!$C$101+(16/Assumptions!$C$102)*(1-Assumptions!$C$101))*Assumptions!$C$100*Assumptions!$C$62*3+Assumptions!E$33*MIN(1,Assumptions!$C$101+(15/Assumptions!$C$102)*(1-Assumptions!$C$101))*Assumptions!$C$100*Assumptions!$C$62*3+Assumptions!F$33*MIN(1,Assumptions!$C$101+(14/Assumptions!$C$102)*(1-Assumptions!$C$101))*Assumptions!$C$100*Assumptions!$C$62*3+Assumptions!G$33*MIN(1,Assumptions!$C$101+(13/Assumptions!$C$102)*(1-Assumptions!$C$101))*Assumptions!$C$100*Assumptions!$C$62*3+Assumptions!H$33*MIN(1,Assumptions!$C$101+(12/Assumptions!$C$102)*(1-Assumptions!$C$101))*Assumptions!$C$100*Assumptions!$C$62*3+Assumptions!I$33*MIN(1,Assumptions!$C$101+(11/Assumptions!$C$102)*(1-Assumptions!$C$101))*Assumptions!$C$100*Assumptions!$C$62*3+Assumptions!J$33*MIN(1,Assumptions!$C$101+(10/Assumptions!$C$102)*(1-Assumptions!$C$101))*Assumptions!$C$100*Assumptions!$C$62*3</f>
        <v>28800</v>
      </c>
      <c r="U100" s="6" t="n">
        <f aca="false">Assumptions!C$33*MIN(1,Assumptions!$C$101+(18/Assumptions!$C$102)*(1-Assumptions!$C$101))*Assumptions!$C$100*Assumptions!$C$62*3+Assumptions!D$33*MIN(1,Assumptions!$C$101+(17/Assumptions!$C$102)*(1-Assumptions!$C$101))*Assumptions!$C$100*Assumptions!$C$62*3+Assumptions!E$33*MIN(1,Assumptions!$C$101+(16/Assumptions!$C$102)*(1-Assumptions!$C$101))*Assumptions!$C$100*Assumptions!$C$62*3+Assumptions!F$33*MIN(1,Assumptions!$C$101+(15/Assumptions!$C$102)*(1-Assumptions!$C$101))*Assumptions!$C$100*Assumptions!$C$62*3+Assumptions!G$33*MIN(1,Assumptions!$C$101+(14/Assumptions!$C$102)*(1-Assumptions!$C$101))*Assumptions!$C$100*Assumptions!$C$62*3+Assumptions!H$33*MIN(1,Assumptions!$C$101+(13/Assumptions!$C$102)*(1-Assumptions!$C$101))*Assumptions!$C$100*Assumptions!$C$62*3+Assumptions!I$33*MIN(1,Assumptions!$C$101+(12/Assumptions!$C$102)*(1-Assumptions!$C$101))*Assumptions!$C$100*Assumptions!$C$62*3+Assumptions!J$33*MIN(1,Assumptions!$C$101+(11/Assumptions!$C$102)*(1-Assumptions!$C$101))*Assumptions!$C$100*Assumptions!$C$62*3</f>
        <v>28800</v>
      </c>
      <c r="V100" s="6" t="n">
        <f aca="false">Assumptions!C$33*MIN(1,Assumptions!$C$101+(19/Assumptions!$C$102)*(1-Assumptions!$C$101))*Assumptions!$C$100*Assumptions!$C$62*3+Assumptions!D$33*MIN(1,Assumptions!$C$101+(18/Assumptions!$C$102)*(1-Assumptions!$C$101))*Assumptions!$C$100*Assumptions!$C$62*3+Assumptions!E$33*MIN(1,Assumptions!$C$101+(17/Assumptions!$C$102)*(1-Assumptions!$C$101))*Assumptions!$C$100*Assumptions!$C$62*3+Assumptions!F$33*MIN(1,Assumptions!$C$101+(16/Assumptions!$C$102)*(1-Assumptions!$C$101))*Assumptions!$C$100*Assumptions!$C$62*3+Assumptions!G$33*MIN(1,Assumptions!$C$101+(15/Assumptions!$C$102)*(1-Assumptions!$C$101))*Assumptions!$C$100*Assumptions!$C$62*3+Assumptions!H$33*MIN(1,Assumptions!$C$101+(14/Assumptions!$C$102)*(1-Assumptions!$C$101))*Assumptions!$C$100*Assumptions!$C$62*3+Assumptions!I$33*MIN(1,Assumptions!$C$101+(13/Assumptions!$C$102)*(1-Assumptions!$C$101))*Assumptions!$C$100*Assumptions!$C$62*3+Assumptions!J$33*MIN(1,Assumptions!$C$101+(12/Assumptions!$C$102)*(1-Assumptions!$C$101))*Assumptions!$C$100*Assumptions!$C$62*3</f>
        <v>28800</v>
      </c>
    </row>
    <row r="101" customFormat="false" ht="15" hidden="false" customHeight="false" outlineLevel="0" collapsed="false">
      <c r="B101" s="10" t="s">
        <v>48</v>
      </c>
      <c r="C101" s="6" t="n">
        <f aca="false">Assumptions!C$34*MIN(1,Assumptions!$C$101+(0/Assumptions!$C$102)*(1-Assumptions!$C$101))*Assumptions!$C$100*Assumptions!$C$62*3</f>
        <v>0</v>
      </c>
      <c r="D101" s="6" t="n">
        <f aca="false">Assumptions!C$34*MIN(1,Assumptions!$C$101+(1/Assumptions!$C$102)*(1-Assumptions!$C$101))*Assumptions!$C$100*Assumptions!$C$62*3+Assumptions!D$34*MIN(1,Assumptions!$C$101+(0/Assumptions!$C$102)*(1-Assumptions!$C$101))*Assumptions!$C$100*Assumptions!$C$62*3</f>
        <v>0</v>
      </c>
      <c r="E101" s="6" t="n">
        <f aca="false">Assumptions!C$34*MIN(1,Assumptions!$C$101+(2/Assumptions!$C$102)*(1-Assumptions!$C$101))*Assumptions!$C$100*Assumptions!$C$62*3+Assumptions!D$34*MIN(1,Assumptions!$C$101+(1/Assumptions!$C$102)*(1-Assumptions!$C$101))*Assumptions!$C$100*Assumptions!$C$62*3+Assumptions!E$34*MIN(1,Assumptions!$C$101+(0/Assumptions!$C$102)*(1-Assumptions!$C$101))*Assumptions!$C$100*Assumptions!$C$62*3</f>
        <v>0</v>
      </c>
      <c r="F101" s="6" t="n">
        <f aca="false">Assumptions!C$34*MIN(1,Assumptions!$C$101+(3/Assumptions!$C$102)*(1-Assumptions!$C$101))*Assumptions!$C$100*Assumptions!$C$62*3+Assumptions!D$34*MIN(1,Assumptions!$C$101+(2/Assumptions!$C$102)*(1-Assumptions!$C$101))*Assumptions!$C$100*Assumptions!$C$62*3+Assumptions!E$34*MIN(1,Assumptions!$C$101+(1/Assumptions!$C$102)*(1-Assumptions!$C$101))*Assumptions!$C$100*Assumptions!$C$62*3+Assumptions!F$34*MIN(1,Assumptions!$C$101+(0/Assumptions!$C$102)*(1-Assumptions!$C$101))*Assumptions!$C$100*Assumptions!$C$62*3</f>
        <v>0</v>
      </c>
      <c r="G101" s="6" t="n">
        <f aca="false">Assumptions!C$34*MIN(1,Assumptions!$C$101+(4/Assumptions!$C$102)*(1-Assumptions!$C$101))*Assumptions!$C$100*Assumptions!$C$62*3+Assumptions!D$34*MIN(1,Assumptions!$C$101+(3/Assumptions!$C$102)*(1-Assumptions!$C$101))*Assumptions!$C$100*Assumptions!$C$62*3+Assumptions!E$34*MIN(1,Assumptions!$C$101+(2/Assumptions!$C$102)*(1-Assumptions!$C$101))*Assumptions!$C$100*Assumptions!$C$62*3+Assumptions!F$34*MIN(1,Assumptions!$C$101+(1/Assumptions!$C$102)*(1-Assumptions!$C$101))*Assumptions!$C$100*Assumptions!$C$62*3+Assumptions!G$34*MIN(1,Assumptions!$C$101+(0/Assumptions!$C$102)*(1-Assumptions!$C$101))*Assumptions!$C$100*Assumptions!$C$62*3</f>
        <v>0</v>
      </c>
      <c r="H101" s="6" t="n">
        <f aca="false">Assumptions!C$34*MIN(1,Assumptions!$C$101+(5/Assumptions!$C$102)*(1-Assumptions!$C$101))*Assumptions!$C$100*Assumptions!$C$62*3+Assumptions!D$34*MIN(1,Assumptions!$C$101+(4/Assumptions!$C$102)*(1-Assumptions!$C$101))*Assumptions!$C$100*Assumptions!$C$62*3+Assumptions!E$34*MIN(1,Assumptions!$C$101+(3/Assumptions!$C$102)*(1-Assumptions!$C$101))*Assumptions!$C$100*Assumptions!$C$62*3+Assumptions!F$34*MIN(1,Assumptions!$C$101+(2/Assumptions!$C$102)*(1-Assumptions!$C$101))*Assumptions!$C$100*Assumptions!$C$62*3+Assumptions!G$34*MIN(1,Assumptions!$C$101+(1/Assumptions!$C$102)*(1-Assumptions!$C$101))*Assumptions!$C$100*Assumptions!$C$62*3+Assumptions!H$34*MIN(1,Assumptions!$C$101+(0/Assumptions!$C$102)*(1-Assumptions!$C$101))*Assumptions!$C$100*Assumptions!$C$62*3</f>
        <v>0</v>
      </c>
      <c r="I101" s="6" t="n">
        <f aca="false">Assumptions!C$34*MIN(1,Assumptions!$C$101+(6/Assumptions!$C$102)*(1-Assumptions!$C$101))*Assumptions!$C$100*Assumptions!$C$62*3+Assumptions!D$34*MIN(1,Assumptions!$C$101+(5/Assumptions!$C$102)*(1-Assumptions!$C$101))*Assumptions!$C$100*Assumptions!$C$62*3+Assumptions!E$34*MIN(1,Assumptions!$C$101+(4/Assumptions!$C$102)*(1-Assumptions!$C$101))*Assumptions!$C$100*Assumptions!$C$62*3+Assumptions!F$34*MIN(1,Assumptions!$C$101+(3/Assumptions!$C$102)*(1-Assumptions!$C$101))*Assumptions!$C$100*Assumptions!$C$62*3+Assumptions!G$34*MIN(1,Assumptions!$C$101+(2/Assumptions!$C$102)*(1-Assumptions!$C$101))*Assumptions!$C$100*Assumptions!$C$62*3+Assumptions!H$34*MIN(1,Assumptions!$C$101+(1/Assumptions!$C$102)*(1-Assumptions!$C$101))*Assumptions!$C$100*Assumptions!$C$62*3+Assumptions!I$34*MIN(1,Assumptions!$C$101+(0/Assumptions!$C$102)*(1-Assumptions!$C$101))*Assumptions!$C$100*Assumptions!$C$62*3</f>
        <v>0</v>
      </c>
      <c r="J101" s="6" t="n">
        <f aca="false">Assumptions!C$34*MIN(1,Assumptions!$C$101+(7/Assumptions!$C$102)*(1-Assumptions!$C$101))*Assumptions!$C$100*Assumptions!$C$62*3+Assumptions!D$34*MIN(1,Assumptions!$C$101+(6/Assumptions!$C$102)*(1-Assumptions!$C$101))*Assumptions!$C$100*Assumptions!$C$62*3+Assumptions!E$34*MIN(1,Assumptions!$C$101+(5/Assumptions!$C$102)*(1-Assumptions!$C$101))*Assumptions!$C$100*Assumptions!$C$62*3+Assumptions!F$34*MIN(1,Assumptions!$C$101+(4/Assumptions!$C$102)*(1-Assumptions!$C$101))*Assumptions!$C$100*Assumptions!$C$62*3+Assumptions!G$34*MIN(1,Assumptions!$C$101+(3/Assumptions!$C$102)*(1-Assumptions!$C$101))*Assumptions!$C$100*Assumptions!$C$62*3+Assumptions!H$34*MIN(1,Assumptions!$C$101+(2/Assumptions!$C$102)*(1-Assumptions!$C$101))*Assumptions!$C$100*Assumptions!$C$62*3+Assumptions!I$34*MIN(1,Assumptions!$C$101+(1/Assumptions!$C$102)*(1-Assumptions!$C$101))*Assumptions!$C$100*Assumptions!$C$62*3+Assumptions!J$34*MIN(1,Assumptions!$C$101+(0/Assumptions!$C$102)*(1-Assumptions!$C$101))*Assumptions!$C$100*Assumptions!$C$62*3</f>
        <v>7680</v>
      </c>
      <c r="K101" s="6" t="n">
        <f aca="false">Assumptions!C$34*MIN(1,Assumptions!$C$101+(8/Assumptions!$C$102)*(1-Assumptions!$C$101))*Assumptions!$C$100*Assumptions!$C$62*3+Assumptions!D$34*MIN(1,Assumptions!$C$101+(7/Assumptions!$C$102)*(1-Assumptions!$C$101))*Assumptions!$C$100*Assumptions!$C$62*3+Assumptions!E$34*MIN(1,Assumptions!$C$101+(6/Assumptions!$C$102)*(1-Assumptions!$C$101))*Assumptions!$C$100*Assumptions!$C$62*3+Assumptions!F$34*MIN(1,Assumptions!$C$101+(5/Assumptions!$C$102)*(1-Assumptions!$C$101))*Assumptions!$C$100*Assumptions!$C$62*3+Assumptions!G$34*MIN(1,Assumptions!$C$101+(4/Assumptions!$C$102)*(1-Assumptions!$C$101))*Assumptions!$C$100*Assumptions!$C$62*3+Assumptions!H$34*MIN(1,Assumptions!$C$101+(3/Assumptions!$C$102)*(1-Assumptions!$C$101))*Assumptions!$C$100*Assumptions!$C$62*3+Assumptions!I$34*MIN(1,Assumptions!$C$101+(2/Assumptions!$C$102)*(1-Assumptions!$C$101))*Assumptions!$C$100*Assumptions!$C$62*3+Assumptions!J$34*MIN(1,Assumptions!$C$101+(1/Assumptions!$C$102)*(1-Assumptions!$C$101))*Assumptions!$C$100*Assumptions!$C$62*3</f>
        <v>9984</v>
      </c>
      <c r="L101" s="6" t="n">
        <f aca="false">Assumptions!C$34*MIN(1,Assumptions!$C$101+(9/Assumptions!$C$102)*(1-Assumptions!$C$101))*Assumptions!$C$100*Assumptions!$C$62*3+Assumptions!D$34*MIN(1,Assumptions!$C$101+(8/Assumptions!$C$102)*(1-Assumptions!$C$101))*Assumptions!$C$100*Assumptions!$C$62*3+Assumptions!E$34*MIN(1,Assumptions!$C$101+(7/Assumptions!$C$102)*(1-Assumptions!$C$101))*Assumptions!$C$100*Assumptions!$C$62*3+Assumptions!F$34*MIN(1,Assumptions!$C$101+(6/Assumptions!$C$102)*(1-Assumptions!$C$101))*Assumptions!$C$100*Assumptions!$C$62*3+Assumptions!G$34*MIN(1,Assumptions!$C$101+(5/Assumptions!$C$102)*(1-Assumptions!$C$101))*Assumptions!$C$100*Assumptions!$C$62*3+Assumptions!H$34*MIN(1,Assumptions!$C$101+(4/Assumptions!$C$102)*(1-Assumptions!$C$101))*Assumptions!$C$100*Assumptions!$C$62*3+Assumptions!I$34*MIN(1,Assumptions!$C$101+(3/Assumptions!$C$102)*(1-Assumptions!$C$101))*Assumptions!$C$100*Assumptions!$C$62*3+Assumptions!J$34*MIN(1,Assumptions!$C$101+(2/Assumptions!$C$102)*(1-Assumptions!$C$101))*Assumptions!$C$100*Assumptions!$C$62*3</f>
        <v>12288</v>
      </c>
      <c r="M101" s="6" t="n">
        <f aca="false">Assumptions!C$34*MIN(1,Assumptions!$C$101+(10/Assumptions!$C$102)*(1-Assumptions!$C$101))*Assumptions!$C$100*Assumptions!$C$62*3+Assumptions!D$34*MIN(1,Assumptions!$C$101+(9/Assumptions!$C$102)*(1-Assumptions!$C$101))*Assumptions!$C$100*Assumptions!$C$62*3+Assumptions!E$34*MIN(1,Assumptions!$C$101+(8/Assumptions!$C$102)*(1-Assumptions!$C$101))*Assumptions!$C$100*Assumptions!$C$62*3+Assumptions!F$34*MIN(1,Assumptions!$C$101+(7/Assumptions!$C$102)*(1-Assumptions!$C$101))*Assumptions!$C$100*Assumptions!$C$62*3+Assumptions!G$34*MIN(1,Assumptions!$C$101+(6/Assumptions!$C$102)*(1-Assumptions!$C$101))*Assumptions!$C$100*Assumptions!$C$62*3+Assumptions!H$34*MIN(1,Assumptions!$C$101+(5/Assumptions!$C$102)*(1-Assumptions!$C$101))*Assumptions!$C$100*Assumptions!$C$62*3+Assumptions!I$34*MIN(1,Assumptions!$C$101+(4/Assumptions!$C$102)*(1-Assumptions!$C$101))*Assumptions!$C$100*Assumptions!$C$62*3+Assumptions!J$34*MIN(1,Assumptions!$C$101+(3/Assumptions!$C$102)*(1-Assumptions!$C$101))*Assumptions!$C$100*Assumptions!$C$62*3</f>
        <v>14592</v>
      </c>
      <c r="N101" s="6" t="n">
        <f aca="false">Assumptions!C$34*MIN(1,Assumptions!$C$101+(11/Assumptions!$C$102)*(1-Assumptions!$C$101))*Assumptions!$C$100*Assumptions!$C$62*3+Assumptions!D$34*MIN(1,Assumptions!$C$101+(10/Assumptions!$C$102)*(1-Assumptions!$C$101))*Assumptions!$C$100*Assumptions!$C$62*3+Assumptions!E$34*MIN(1,Assumptions!$C$101+(9/Assumptions!$C$102)*(1-Assumptions!$C$101))*Assumptions!$C$100*Assumptions!$C$62*3+Assumptions!F$34*MIN(1,Assumptions!$C$101+(8/Assumptions!$C$102)*(1-Assumptions!$C$101))*Assumptions!$C$100*Assumptions!$C$62*3+Assumptions!G$34*MIN(1,Assumptions!$C$101+(7/Assumptions!$C$102)*(1-Assumptions!$C$101))*Assumptions!$C$100*Assumptions!$C$62*3+Assumptions!H$34*MIN(1,Assumptions!$C$101+(6/Assumptions!$C$102)*(1-Assumptions!$C$101))*Assumptions!$C$100*Assumptions!$C$62*3+Assumptions!I$34*MIN(1,Assumptions!$C$101+(5/Assumptions!$C$102)*(1-Assumptions!$C$101))*Assumptions!$C$100*Assumptions!$C$62*3+Assumptions!J$34*MIN(1,Assumptions!$C$101+(4/Assumptions!$C$102)*(1-Assumptions!$C$101))*Assumptions!$C$100*Assumptions!$C$62*3</f>
        <v>16896</v>
      </c>
      <c r="O101" s="6" t="n">
        <f aca="false">Assumptions!C$34*MIN(1,Assumptions!$C$101+(12/Assumptions!$C$102)*(1-Assumptions!$C$101))*Assumptions!$C$100*Assumptions!$C$62*3+Assumptions!D$34*MIN(1,Assumptions!$C$101+(11/Assumptions!$C$102)*(1-Assumptions!$C$101))*Assumptions!$C$100*Assumptions!$C$62*3+Assumptions!E$34*MIN(1,Assumptions!$C$101+(10/Assumptions!$C$102)*(1-Assumptions!$C$101))*Assumptions!$C$100*Assumptions!$C$62*3+Assumptions!F$34*MIN(1,Assumptions!$C$101+(9/Assumptions!$C$102)*(1-Assumptions!$C$101))*Assumptions!$C$100*Assumptions!$C$62*3+Assumptions!G$34*MIN(1,Assumptions!$C$101+(8/Assumptions!$C$102)*(1-Assumptions!$C$101))*Assumptions!$C$100*Assumptions!$C$62*3+Assumptions!H$34*MIN(1,Assumptions!$C$101+(7/Assumptions!$C$102)*(1-Assumptions!$C$101))*Assumptions!$C$100*Assumptions!$C$62*3+Assumptions!I$34*MIN(1,Assumptions!$C$101+(6/Assumptions!$C$102)*(1-Assumptions!$C$101))*Assumptions!$C$100*Assumptions!$C$62*3+Assumptions!J$34*MIN(1,Assumptions!$C$101+(5/Assumptions!$C$102)*(1-Assumptions!$C$101))*Assumptions!$C$100*Assumptions!$C$62*3</f>
        <v>19200</v>
      </c>
      <c r="P101" s="6" t="n">
        <f aca="false">Assumptions!C$34*MIN(1,Assumptions!$C$101+(13/Assumptions!$C$102)*(1-Assumptions!$C$101))*Assumptions!$C$100*Assumptions!$C$62*3+Assumptions!D$34*MIN(1,Assumptions!$C$101+(12/Assumptions!$C$102)*(1-Assumptions!$C$101))*Assumptions!$C$100*Assumptions!$C$62*3+Assumptions!E$34*MIN(1,Assumptions!$C$101+(11/Assumptions!$C$102)*(1-Assumptions!$C$101))*Assumptions!$C$100*Assumptions!$C$62*3+Assumptions!F$34*MIN(1,Assumptions!$C$101+(10/Assumptions!$C$102)*(1-Assumptions!$C$101))*Assumptions!$C$100*Assumptions!$C$62*3+Assumptions!G$34*MIN(1,Assumptions!$C$101+(9/Assumptions!$C$102)*(1-Assumptions!$C$101))*Assumptions!$C$100*Assumptions!$C$62*3+Assumptions!H$34*MIN(1,Assumptions!$C$101+(8/Assumptions!$C$102)*(1-Assumptions!$C$101))*Assumptions!$C$100*Assumptions!$C$62*3+Assumptions!I$34*MIN(1,Assumptions!$C$101+(7/Assumptions!$C$102)*(1-Assumptions!$C$101))*Assumptions!$C$100*Assumptions!$C$62*3+Assumptions!J$34*MIN(1,Assumptions!$C$101+(6/Assumptions!$C$102)*(1-Assumptions!$C$101))*Assumptions!$C$100*Assumptions!$C$62*3</f>
        <v>19200</v>
      </c>
      <c r="Q101" s="6" t="n">
        <f aca="false">Assumptions!C$34*MIN(1,Assumptions!$C$101+(14/Assumptions!$C$102)*(1-Assumptions!$C$101))*Assumptions!$C$100*Assumptions!$C$62*3+Assumptions!D$34*MIN(1,Assumptions!$C$101+(13/Assumptions!$C$102)*(1-Assumptions!$C$101))*Assumptions!$C$100*Assumptions!$C$62*3+Assumptions!E$34*MIN(1,Assumptions!$C$101+(12/Assumptions!$C$102)*(1-Assumptions!$C$101))*Assumptions!$C$100*Assumptions!$C$62*3+Assumptions!F$34*MIN(1,Assumptions!$C$101+(11/Assumptions!$C$102)*(1-Assumptions!$C$101))*Assumptions!$C$100*Assumptions!$C$62*3+Assumptions!G$34*MIN(1,Assumptions!$C$101+(10/Assumptions!$C$102)*(1-Assumptions!$C$101))*Assumptions!$C$100*Assumptions!$C$62*3+Assumptions!H$34*MIN(1,Assumptions!$C$101+(9/Assumptions!$C$102)*(1-Assumptions!$C$101))*Assumptions!$C$100*Assumptions!$C$62*3+Assumptions!I$34*MIN(1,Assumptions!$C$101+(8/Assumptions!$C$102)*(1-Assumptions!$C$101))*Assumptions!$C$100*Assumptions!$C$62*3+Assumptions!J$34*MIN(1,Assumptions!$C$101+(7/Assumptions!$C$102)*(1-Assumptions!$C$101))*Assumptions!$C$100*Assumptions!$C$62*3</f>
        <v>19200</v>
      </c>
      <c r="R101" s="6" t="n">
        <f aca="false">Assumptions!C$34*MIN(1,Assumptions!$C$101+(15/Assumptions!$C$102)*(1-Assumptions!$C$101))*Assumptions!$C$100*Assumptions!$C$62*3+Assumptions!D$34*MIN(1,Assumptions!$C$101+(14/Assumptions!$C$102)*(1-Assumptions!$C$101))*Assumptions!$C$100*Assumptions!$C$62*3+Assumptions!E$34*MIN(1,Assumptions!$C$101+(13/Assumptions!$C$102)*(1-Assumptions!$C$101))*Assumptions!$C$100*Assumptions!$C$62*3+Assumptions!F$34*MIN(1,Assumptions!$C$101+(12/Assumptions!$C$102)*(1-Assumptions!$C$101))*Assumptions!$C$100*Assumptions!$C$62*3+Assumptions!G$34*MIN(1,Assumptions!$C$101+(11/Assumptions!$C$102)*(1-Assumptions!$C$101))*Assumptions!$C$100*Assumptions!$C$62*3+Assumptions!H$34*MIN(1,Assumptions!$C$101+(10/Assumptions!$C$102)*(1-Assumptions!$C$101))*Assumptions!$C$100*Assumptions!$C$62*3+Assumptions!I$34*MIN(1,Assumptions!$C$101+(9/Assumptions!$C$102)*(1-Assumptions!$C$101))*Assumptions!$C$100*Assumptions!$C$62*3+Assumptions!J$34*MIN(1,Assumptions!$C$101+(8/Assumptions!$C$102)*(1-Assumptions!$C$101))*Assumptions!$C$100*Assumptions!$C$62*3</f>
        <v>19200</v>
      </c>
      <c r="S101" s="6" t="n">
        <f aca="false">Assumptions!C$34*MIN(1,Assumptions!$C$101+(16/Assumptions!$C$102)*(1-Assumptions!$C$101))*Assumptions!$C$100*Assumptions!$C$62*3+Assumptions!D$34*MIN(1,Assumptions!$C$101+(15/Assumptions!$C$102)*(1-Assumptions!$C$101))*Assumptions!$C$100*Assumptions!$C$62*3+Assumptions!E$34*MIN(1,Assumptions!$C$101+(14/Assumptions!$C$102)*(1-Assumptions!$C$101))*Assumptions!$C$100*Assumptions!$C$62*3+Assumptions!F$34*MIN(1,Assumptions!$C$101+(13/Assumptions!$C$102)*(1-Assumptions!$C$101))*Assumptions!$C$100*Assumptions!$C$62*3+Assumptions!G$34*MIN(1,Assumptions!$C$101+(12/Assumptions!$C$102)*(1-Assumptions!$C$101))*Assumptions!$C$100*Assumptions!$C$62*3+Assumptions!H$34*MIN(1,Assumptions!$C$101+(11/Assumptions!$C$102)*(1-Assumptions!$C$101))*Assumptions!$C$100*Assumptions!$C$62*3+Assumptions!I$34*MIN(1,Assumptions!$C$101+(10/Assumptions!$C$102)*(1-Assumptions!$C$101))*Assumptions!$C$100*Assumptions!$C$62*3+Assumptions!J$34*MIN(1,Assumptions!$C$101+(9/Assumptions!$C$102)*(1-Assumptions!$C$101))*Assumptions!$C$100*Assumptions!$C$62*3</f>
        <v>19200</v>
      </c>
      <c r="T101" s="6" t="n">
        <f aca="false">Assumptions!C$34*MIN(1,Assumptions!$C$101+(17/Assumptions!$C$102)*(1-Assumptions!$C$101))*Assumptions!$C$100*Assumptions!$C$62*3+Assumptions!D$34*MIN(1,Assumptions!$C$101+(16/Assumptions!$C$102)*(1-Assumptions!$C$101))*Assumptions!$C$100*Assumptions!$C$62*3+Assumptions!E$34*MIN(1,Assumptions!$C$101+(15/Assumptions!$C$102)*(1-Assumptions!$C$101))*Assumptions!$C$100*Assumptions!$C$62*3+Assumptions!F$34*MIN(1,Assumptions!$C$101+(14/Assumptions!$C$102)*(1-Assumptions!$C$101))*Assumptions!$C$100*Assumptions!$C$62*3+Assumptions!G$34*MIN(1,Assumptions!$C$101+(13/Assumptions!$C$102)*(1-Assumptions!$C$101))*Assumptions!$C$100*Assumptions!$C$62*3+Assumptions!H$34*MIN(1,Assumptions!$C$101+(12/Assumptions!$C$102)*(1-Assumptions!$C$101))*Assumptions!$C$100*Assumptions!$C$62*3+Assumptions!I$34*MIN(1,Assumptions!$C$101+(11/Assumptions!$C$102)*(1-Assumptions!$C$101))*Assumptions!$C$100*Assumptions!$C$62*3+Assumptions!J$34*MIN(1,Assumptions!$C$101+(10/Assumptions!$C$102)*(1-Assumptions!$C$101))*Assumptions!$C$100*Assumptions!$C$62*3</f>
        <v>19200</v>
      </c>
      <c r="U101" s="6" t="n">
        <f aca="false">Assumptions!C$34*MIN(1,Assumptions!$C$101+(18/Assumptions!$C$102)*(1-Assumptions!$C$101))*Assumptions!$C$100*Assumptions!$C$62*3+Assumptions!D$34*MIN(1,Assumptions!$C$101+(17/Assumptions!$C$102)*(1-Assumptions!$C$101))*Assumptions!$C$100*Assumptions!$C$62*3+Assumptions!E$34*MIN(1,Assumptions!$C$101+(16/Assumptions!$C$102)*(1-Assumptions!$C$101))*Assumptions!$C$100*Assumptions!$C$62*3+Assumptions!F$34*MIN(1,Assumptions!$C$101+(15/Assumptions!$C$102)*(1-Assumptions!$C$101))*Assumptions!$C$100*Assumptions!$C$62*3+Assumptions!G$34*MIN(1,Assumptions!$C$101+(14/Assumptions!$C$102)*(1-Assumptions!$C$101))*Assumptions!$C$100*Assumptions!$C$62*3+Assumptions!H$34*MIN(1,Assumptions!$C$101+(13/Assumptions!$C$102)*(1-Assumptions!$C$101))*Assumptions!$C$100*Assumptions!$C$62*3+Assumptions!I$34*MIN(1,Assumptions!$C$101+(12/Assumptions!$C$102)*(1-Assumptions!$C$101))*Assumptions!$C$100*Assumptions!$C$62*3+Assumptions!J$34*MIN(1,Assumptions!$C$101+(11/Assumptions!$C$102)*(1-Assumptions!$C$101))*Assumptions!$C$100*Assumptions!$C$62*3</f>
        <v>19200</v>
      </c>
      <c r="V101" s="6" t="n">
        <f aca="false">Assumptions!C$34*MIN(1,Assumptions!$C$101+(19/Assumptions!$C$102)*(1-Assumptions!$C$101))*Assumptions!$C$100*Assumptions!$C$62*3+Assumptions!D$34*MIN(1,Assumptions!$C$101+(18/Assumptions!$C$102)*(1-Assumptions!$C$101))*Assumptions!$C$100*Assumptions!$C$62*3+Assumptions!E$34*MIN(1,Assumptions!$C$101+(17/Assumptions!$C$102)*(1-Assumptions!$C$101))*Assumptions!$C$100*Assumptions!$C$62*3+Assumptions!F$34*MIN(1,Assumptions!$C$101+(16/Assumptions!$C$102)*(1-Assumptions!$C$101))*Assumptions!$C$100*Assumptions!$C$62*3+Assumptions!G$34*MIN(1,Assumptions!$C$101+(15/Assumptions!$C$102)*(1-Assumptions!$C$101))*Assumptions!$C$100*Assumptions!$C$62*3+Assumptions!H$34*MIN(1,Assumptions!$C$101+(14/Assumptions!$C$102)*(1-Assumptions!$C$101))*Assumptions!$C$100*Assumptions!$C$62*3+Assumptions!I$34*MIN(1,Assumptions!$C$101+(13/Assumptions!$C$102)*(1-Assumptions!$C$101))*Assumptions!$C$100*Assumptions!$C$62*3+Assumptions!J$34*MIN(1,Assumptions!$C$101+(12/Assumptions!$C$102)*(1-Assumptions!$C$101))*Assumptions!$C$100*Assumptions!$C$62*3</f>
        <v>19200</v>
      </c>
    </row>
    <row r="103" customFormat="false" ht="15" hidden="false" customHeight="false" outlineLevel="0" collapsed="false">
      <c r="B103" s="1" t="s">
        <v>417</v>
      </c>
      <c r="C103" s="21" t="n">
        <f aca="false">C97+C98+C99+C100+C101</f>
        <v>0</v>
      </c>
      <c r="D103" s="21" t="n">
        <f aca="false">D97+D98+D99+D100+D101</f>
        <v>0</v>
      </c>
      <c r="E103" s="21" t="n">
        <f aca="false">E97+E98+E99+E100+E101</f>
        <v>0</v>
      </c>
      <c r="F103" s="21" t="n">
        <f aca="false">F97+F98+F99+F100+F101</f>
        <v>11520</v>
      </c>
      <c r="G103" s="21" t="n">
        <f aca="false">G97+G98+G99+G100+G101</f>
        <v>34176</v>
      </c>
      <c r="H103" s="21" t="n">
        <f aca="false">H97+H98+H99+H100+H101</f>
        <v>58752</v>
      </c>
      <c r="I103" s="21" t="n">
        <f aca="false">I97+I98+I99+I100+I101</f>
        <v>91776</v>
      </c>
      <c r="J103" s="21" t="n">
        <f aca="false">J97+J98+J99+J100+J101</f>
        <v>122880</v>
      </c>
      <c r="K103" s="21" t="n">
        <f aca="false">K97+K98+K99+K100+K101</f>
        <v>145920</v>
      </c>
      <c r="L103" s="21" t="n">
        <f aca="false">L97+L98+L99+L100+L101</f>
        <v>165504</v>
      </c>
      <c r="M103" s="21" t="n">
        <f aca="false">M97+M98+M99+M100+M101</f>
        <v>179328</v>
      </c>
      <c r="N103" s="21" t="n">
        <f aca="false">N97+N98+N99+N100+N101</f>
        <v>188544</v>
      </c>
      <c r="O103" s="21" t="n">
        <f aca="false">O97+O98+O99+O100+O101</f>
        <v>192000</v>
      </c>
      <c r="P103" s="21" t="n">
        <f aca="false">P97+P98+P99+P100+P101</f>
        <v>192000</v>
      </c>
      <c r="Q103" s="21" t="n">
        <f aca="false">Q97+Q98+Q99+Q100+Q101</f>
        <v>192000</v>
      </c>
      <c r="R103" s="21" t="n">
        <f aca="false">R97+R98+R99+R100+R101</f>
        <v>192000</v>
      </c>
      <c r="S103" s="21" t="n">
        <f aca="false">S97+S98+S99+S100+S101</f>
        <v>192000</v>
      </c>
      <c r="T103" s="21" t="n">
        <f aca="false">T97+T98+T99+T100+T101</f>
        <v>192000</v>
      </c>
      <c r="U103" s="21" t="n">
        <f aca="false">U97+U98+U99+U100+U101</f>
        <v>192000</v>
      </c>
      <c r="V103" s="21" t="n">
        <f aca="false">V97+V98+V99+V100+V101</f>
        <v>192000</v>
      </c>
    </row>
    <row r="105" customFormat="false" ht="15" hidden="false" customHeight="false" outlineLevel="0" collapsed="false">
      <c r="B105" s="1" t="s">
        <v>418</v>
      </c>
    </row>
    <row r="106" customFormat="false" ht="15" hidden="false" customHeight="false" outlineLevel="0" collapsed="false">
      <c r="B106" s="10" t="s">
        <v>44</v>
      </c>
      <c r="C106" s="6" t="n">
        <v>0</v>
      </c>
      <c r="D106" s="6" t="n">
        <v>0</v>
      </c>
      <c r="E106" s="6" t="n">
        <f aca="false">Assumptions!C$30*INDEX(Assumptions!$C$77:$C$84,1)*Assumptions!$C$105*3*Assumptions!$C$63</f>
        <v>0</v>
      </c>
      <c r="F106" s="6" t="n">
        <f aca="false">Assumptions!C$30*INDEX(Assumptions!$C$77:$C$84,2)*Assumptions!$C$105*3*Assumptions!$C$63+Assumptions!D$30*INDEX(Assumptions!$C$77:$C$84,1)*Assumptions!$C$105*3*Assumptions!$C$63</f>
        <v>0</v>
      </c>
      <c r="G106" s="6" t="n">
        <f aca="false">Assumptions!C$30*INDEX(Assumptions!$C$77:$C$84,3)*Assumptions!$C$105*3*Assumptions!$C$63+Assumptions!D$30*INDEX(Assumptions!$C$77:$C$84,2)*Assumptions!$C$105*3*Assumptions!$C$63+Assumptions!E$30*INDEX(Assumptions!$C$77:$C$84,1)*Assumptions!$C$105*3*Assumptions!$C$63</f>
        <v>0</v>
      </c>
      <c r="H106" s="6" t="n">
        <f aca="false">Assumptions!C$30*INDEX(Assumptions!$C$77:$C$84,4)*Assumptions!$C$105*3*Assumptions!$C$63+Assumptions!D$30*INDEX(Assumptions!$C$77:$C$84,3)*Assumptions!$C$105*3*Assumptions!$C$63+Assumptions!E$30*INDEX(Assumptions!$C$77:$C$84,2)*Assumptions!$C$105*3*Assumptions!$C$63+Assumptions!F$30*INDEX(Assumptions!$C$77:$C$84,1)*Assumptions!$C$105*3*Assumptions!$C$63</f>
        <v>3240</v>
      </c>
      <c r="I106" s="6" t="n">
        <f aca="false">Assumptions!C$30*INDEX(Assumptions!$C$77:$C$84,5)*Assumptions!$C$105*3*Assumptions!$C$63+Assumptions!D$30*INDEX(Assumptions!$C$77:$C$84,4)*Assumptions!$C$105*3*Assumptions!$C$63+Assumptions!E$30*INDEX(Assumptions!$C$77:$C$84,3)*Assumptions!$C$105*3*Assumptions!$C$63+Assumptions!F$30*INDEX(Assumptions!$C$77:$C$84,2)*Assumptions!$C$105*3*Assumptions!$C$63+Assumptions!G$30*INDEX(Assumptions!$C$77:$C$84,1)*Assumptions!$C$105*3*Assumptions!$C$63</f>
        <v>8100</v>
      </c>
      <c r="J106" s="6" t="n">
        <f aca="false">Assumptions!C$30*INDEX(Assumptions!$C$77:$C$84,6)*Assumptions!$C$105*3*Assumptions!$C$63+Assumptions!D$30*INDEX(Assumptions!$C$77:$C$84,5)*Assumptions!$C$105*3*Assumptions!$C$63+Assumptions!E$30*INDEX(Assumptions!$C$77:$C$84,4)*Assumptions!$C$105*3*Assumptions!$C$63+Assumptions!F$30*INDEX(Assumptions!$C$77:$C$84,3)*Assumptions!$C$105*3*Assumptions!$C$63+Assumptions!G$30*INDEX(Assumptions!$C$77:$C$84,2)*Assumptions!$C$105*3*Assumptions!$C$63+Assumptions!H$30*INDEX(Assumptions!$C$77:$C$84,1)*Assumptions!$C$105*3*Assumptions!$C$63</f>
        <v>12420</v>
      </c>
      <c r="K106" s="6" t="n">
        <f aca="false">Assumptions!C$30*INDEX(Assumptions!$C$77:$C$84,7)*Assumptions!$C$105*3*Assumptions!$C$63+Assumptions!D$30*INDEX(Assumptions!$C$77:$C$84,6)*Assumptions!$C$105*3*Assumptions!$C$63+Assumptions!E$30*INDEX(Assumptions!$C$77:$C$84,5)*Assumptions!$C$105*3*Assumptions!$C$63+Assumptions!F$30*INDEX(Assumptions!$C$77:$C$84,4)*Assumptions!$C$105*3*Assumptions!$C$63+Assumptions!G$30*INDEX(Assumptions!$C$77:$C$84,3)*Assumptions!$C$105*3*Assumptions!$C$63+Assumptions!H$30*INDEX(Assumptions!$C$77:$C$84,2)*Assumptions!$C$105*3*Assumptions!$C$63+Assumptions!I$30*INDEX(Assumptions!$C$77:$C$84,1)*Assumptions!$C$105*3*Assumptions!$C$63</f>
        <v>18900</v>
      </c>
      <c r="L106" s="6" t="n">
        <f aca="false">Assumptions!C$30*1*Assumptions!$C$105*3*Assumptions!$C$63+Assumptions!D$30*INDEX(Assumptions!$C$77:$C$84,7)*Assumptions!$C$105*3*Assumptions!$C$63+Assumptions!E$30*INDEX(Assumptions!$C$77:$C$84,6)*Assumptions!$C$105*3*Assumptions!$C$63+Assumptions!F$30*INDEX(Assumptions!$C$77:$C$84,5)*Assumptions!$C$105*3*Assumptions!$C$63+Assumptions!G$30*INDEX(Assumptions!$C$77:$C$84,4)*Assumptions!$C$105*3*Assumptions!$C$63+Assumptions!H$30*INDEX(Assumptions!$C$77:$C$84,3)*Assumptions!$C$105*3*Assumptions!$C$63+Assumptions!I$30*INDEX(Assumptions!$C$77:$C$84,2)*Assumptions!$C$105*3*Assumptions!$C$63+Assumptions!J$30*INDEX(Assumptions!$C$77:$C$84,1)*Assumptions!$C$105*3*Assumptions!$C$63</f>
        <v>27000</v>
      </c>
      <c r="M106" s="6" t="n">
        <f aca="false">Assumptions!C$30*1*Assumptions!$C$105*3*Assumptions!$C$63+Assumptions!D$30*1*Assumptions!$C$105*3*Assumptions!$C$63+Assumptions!E$30*INDEX(Assumptions!$C$77:$C$84,7)*Assumptions!$C$105*3*Assumptions!$C$63+Assumptions!F$30*INDEX(Assumptions!$C$77:$C$84,6)*Assumptions!$C$105*3*Assumptions!$C$63+Assumptions!G$30*INDEX(Assumptions!$C$77:$C$84,5)*Assumptions!$C$105*3*Assumptions!$C$63+Assumptions!H$30*INDEX(Assumptions!$C$77:$C$84,4)*Assumptions!$C$105*3*Assumptions!$C$63+Assumptions!I$30*INDEX(Assumptions!$C$77:$C$84,3)*Assumptions!$C$105*3*Assumptions!$C$63+Assumptions!J$30*INDEX(Assumptions!$C$77:$C$84,2)*Assumptions!$C$105*3*Assumptions!$C$63</f>
        <v>35910</v>
      </c>
      <c r="N106" s="6" t="n">
        <f aca="false">Assumptions!C$30*1*Assumptions!$C$105*3*Assumptions!$C$63+Assumptions!D$30*1*Assumptions!$C$105*3*Assumptions!$C$63+Assumptions!E$30*1*Assumptions!$C$105*3*Assumptions!$C$63+Assumptions!F$30*INDEX(Assumptions!$C$77:$C$84,7)*Assumptions!$C$105*3*Assumptions!$C$63+Assumptions!G$30*INDEX(Assumptions!$C$77:$C$84,6)*Assumptions!$C$105*3*Assumptions!$C$63+Assumptions!H$30*INDEX(Assumptions!$C$77:$C$84,5)*Assumptions!$C$105*3*Assumptions!$C$63+Assumptions!I$30*INDEX(Assumptions!$C$77:$C$84,4)*Assumptions!$C$105*3*Assumptions!$C$63+Assumptions!J$30*INDEX(Assumptions!$C$77:$C$84,3)*Assumptions!$C$105*3*Assumptions!$C$63</f>
        <v>44010</v>
      </c>
      <c r="O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INDEX(Assumptions!$C$77:$C$84,7)*Assumptions!$C$105*3*Assumptions!$C$63+Assumptions!H$30*INDEX(Assumptions!$C$77:$C$84,6)*Assumptions!$C$105*3*Assumptions!$C$63+Assumptions!I$30*INDEX(Assumptions!$C$77:$C$84,5)*Assumptions!$C$105*3*Assumptions!$C$63+Assumptions!J$30*INDEX(Assumptions!$C$77:$C$84,4)*Assumptions!$C$105*3*Assumptions!$C$63</f>
        <v>50760</v>
      </c>
      <c r="P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INDEX(Assumptions!$C$77:$C$84,7)*Assumptions!$C$105*3*Assumptions!$C$63+Assumptions!I$30*INDEX(Assumptions!$C$77:$C$84,6)*Assumptions!$C$105*3*Assumptions!$C$63+Assumptions!J$30*INDEX(Assumptions!$C$77:$C$84,5)*Assumptions!$C$105*3*Assumptions!$C$63</f>
        <v>54000</v>
      </c>
      <c r="Q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1*Assumptions!$C$105*3*Assumptions!$C$63+Assumptions!I$30*INDEX(Assumptions!$C$77:$C$84,7)*Assumptions!$C$105*3*Assumptions!$C$63+Assumptions!J$30*INDEX(Assumptions!$C$77:$C$84,6)*Assumptions!$C$105*3*Assumptions!$C$63</f>
        <v>54000</v>
      </c>
      <c r="R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1*Assumptions!$C$105*3*Assumptions!$C$63+Assumptions!I$30*1*Assumptions!$C$105*3*Assumptions!$C$63+Assumptions!J$30*INDEX(Assumptions!$C$77:$C$84,7)*Assumptions!$C$105*3*Assumptions!$C$63</f>
        <v>54000</v>
      </c>
      <c r="S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1*Assumptions!$C$105*3*Assumptions!$C$63+Assumptions!I$30*1*Assumptions!$C$105*3*Assumptions!$C$63+Assumptions!J$30*1*Assumptions!$C$105*3*Assumptions!$C$63</f>
        <v>54000</v>
      </c>
      <c r="T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1*Assumptions!$C$105*3*Assumptions!$C$63+Assumptions!I$30*1*Assumptions!$C$105*3*Assumptions!$C$63+Assumptions!J$30*1*Assumptions!$C$105*3*Assumptions!$C$63</f>
        <v>54000</v>
      </c>
      <c r="U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1*Assumptions!$C$105*3*Assumptions!$C$63+Assumptions!I$30*1*Assumptions!$C$105*3*Assumptions!$C$63+Assumptions!J$30*1*Assumptions!$C$105*3*Assumptions!$C$63</f>
        <v>54000</v>
      </c>
      <c r="V106" s="6" t="n">
        <f aca="false">Assumptions!C$30*1*Assumptions!$C$105*3*Assumptions!$C$63+Assumptions!D$30*1*Assumptions!$C$105*3*Assumptions!$C$63+Assumptions!E$30*1*Assumptions!$C$105*3*Assumptions!$C$63+Assumptions!F$30*1*Assumptions!$C$105*3*Assumptions!$C$63+Assumptions!G$30*1*Assumptions!$C$105*3*Assumptions!$C$63+Assumptions!H$30*1*Assumptions!$C$105*3*Assumptions!$C$63+Assumptions!I$30*1*Assumptions!$C$105*3*Assumptions!$C$63+Assumptions!J$30*1*Assumptions!$C$105*3*Assumptions!$C$63</f>
        <v>54000</v>
      </c>
    </row>
    <row r="107" customFormat="false" ht="15" hidden="false" customHeight="false" outlineLevel="0" collapsed="false">
      <c r="B107" s="10" t="s">
        <v>45</v>
      </c>
      <c r="C107" s="6" t="n">
        <v>0</v>
      </c>
      <c r="D107" s="6" t="n">
        <v>0</v>
      </c>
      <c r="E107" s="6" t="n">
        <f aca="false">Assumptions!C$31*INDEX(Assumptions!$C$77:$C$84,1)*Assumptions!$C$105*3*Assumptions!$C$63</f>
        <v>0</v>
      </c>
      <c r="F107" s="6" t="n">
        <f aca="false">Assumptions!C$31*INDEX(Assumptions!$C$77:$C$84,2)*Assumptions!$C$105*3*Assumptions!$C$63+Assumptions!D$31*INDEX(Assumptions!$C$77:$C$84,1)*Assumptions!$C$105*3*Assumptions!$C$63</f>
        <v>0</v>
      </c>
      <c r="G107" s="6" t="n">
        <f aca="false">Assumptions!C$31*INDEX(Assumptions!$C$77:$C$84,3)*Assumptions!$C$105*3*Assumptions!$C$63+Assumptions!D$31*INDEX(Assumptions!$C$77:$C$84,2)*Assumptions!$C$105*3*Assumptions!$C$63+Assumptions!E$31*INDEX(Assumptions!$C$77:$C$84,1)*Assumptions!$C$105*3*Assumptions!$C$63</f>
        <v>0</v>
      </c>
      <c r="H107" s="6" t="n">
        <f aca="false">Assumptions!C$31*INDEX(Assumptions!$C$77:$C$84,4)*Assumptions!$C$105*3*Assumptions!$C$63+Assumptions!D$31*INDEX(Assumptions!$C$77:$C$84,3)*Assumptions!$C$105*3*Assumptions!$C$63+Assumptions!E$31*INDEX(Assumptions!$C$77:$C$84,2)*Assumptions!$C$105*3*Assumptions!$C$63+Assumptions!F$31*INDEX(Assumptions!$C$77:$C$84,1)*Assumptions!$C$105*3*Assumptions!$C$63</f>
        <v>0</v>
      </c>
      <c r="I107" s="6" t="n">
        <f aca="false">Assumptions!C$31*INDEX(Assumptions!$C$77:$C$84,5)*Assumptions!$C$105*3*Assumptions!$C$63+Assumptions!D$31*INDEX(Assumptions!$C$77:$C$84,4)*Assumptions!$C$105*3*Assumptions!$C$63+Assumptions!E$31*INDEX(Assumptions!$C$77:$C$84,3)*Assumptions!$C$105*3*Assumptions!$C$63+Assumptions!F$31*INDEX(Assumptions!$C$77:$C$84,2)*Assumptions!$C$105*3*Assumptions!$C$63+Assumptions!G$31*INDEX(Assumptions!$C$77:$C$84,1)*Assumptions!$C$105*3*Assumptions!$C$63</f>
        <v>2160</v>
      </c>
      <c r="J107" s="6" t="n">
        <f aca="false">Assumptions!C$31*INDEX(Assumptions!$C$77:$C$84,6)*Assumptions!$C$105*3*Assumptions!$C$63+Assumptions!D$31*INDEX(Assumptions!$C$77:$C$84,5)*Assumptions!$C$105*3*Assumptions!$C$63+Assumptions!E$31*INDEX(Assumptions!$C$77:$C$84,4)*Assumptions!$C$105*3*Assumptions!$C$63+Assumptions!F$31*INDEX(Assumptions!$C$77:$C$84,3)*Assumptions!$C$105*3*Assumptions!$C$63+Assumptions!G$31*INDEX(Assumptions!$C$77:$C$84,2)*Assumptions!$C$105*3*Assumptions!$C$63+Assumptions!H$31*INDEX(Assumptions!$C$77:$C$84,1)*Assumptions!$C$105*3*Assumptions!$C$63</f>
        <v>5400</v>
      </c>
      <c r="K107" s="6" t="n">
        <f aca="false">Assumptions!C$31*INDEX(Assumptions!$C$77:$C$84,7)*Assumptions!$C$105*3*Assumptions!$C$63+Assumptions!D$31*INDEX(Assumptions!$C$77:$C$84,6)*Assumptions!$C$105*3*Assumptions!$C$63+Assumptions!E$31*INDEX(Assumptions!$C$77:$C$84,5)*Assumptions!$C$105*3*Assumptions!$C$63+Assumptions!F$31*INDEX(Assumptions!$C$77:$C$84,4)*Assumptions!$C$105*3*Assumptions!$C$63+Assumptions!G$31*INDEX(Assumptions!$C$77:$C$84,3)*Assumptions!$C$105*3*Assumptions!$C$63+Assumptions!H$31*INDEX(Assumptions!$C$77:$C$84,2)*Assumptions!$C$105*3*Assumptions!$C$63+Assumptions!I$31*INDEX(Assumptions!$C$77:$C$84,1)*Assumptions!$C$105*3*Assumptions!$C$63</f>
        <v>8280</v>
      </c>
      <c r="L107" s="6" t="n">
        <f aca="false">Assumptions!C$31*1*Assumptions!$C$105*3*Assumptions!$C$63+Assumptions!D$31*INDEX(Assumptions!$C$77:$C$84,7)*Assumptions!$C$105*3*Assumptions!$C$63+Assumptions!E$31*INDEX(Assumptions!$C$77:$C$84,6)*Assumptions!$C$105*3*Assumptions!$C$63+Assumptions!F$31*INDEX(Assumptions!$C$77:$C$84,5)*Assumptions!$C$105*3*Assumptions!$C$63+Assumptions!G$31*INDEX(Assumptions!$C$77:$C$84,4)*Assumptions!$C$105*3*Assumptions!$C$63+Assumptions!H$31*INDEX(Assumptions!$C$77:$C$84,3)*Assumptions!$C$105*3*Assumptions!$C$63+Assumptions!I$31*INDEX(Assumptions!$C$77:$C$84,2)*Assumptions!$C$105*3*Assumptions!$C$63+Assumptions!J$31*INDEX(Assumptions!$C$77:$C$84,1)*Assumptions!$C$105*3*Assumptions!$C$63</f>
        <v>12600</v>
      </c>
      <c r="M107" s="6" t="n">
        <f aca="false">Assumptions!C$31*1*Assumptions!$C$105*3*Assumptions!$C$63+Assumptions!D$31*1*Assumptions!$C$105*3*Assumptions!$C$63+Assumptions!E$31*INDEX(Assumptions!$C$77:$C$84,7)*Assumptions!$C$105*3*Assumptions!$C$63+Assumptions!F$31*INDEX(Assumptions!$C$77:$C$84,6)*Assumptions!$C$105*3*Assumptions!$C$63+Assumptions!G$31*INDEX(Assumptions!$C$77:$C$84,5)*Assumptions!$C$105*3*Assumptions!$C$63+Assumptions!H$31*INDEX(Assumptions!$C$77:$C$84,4)*Assumptions!$C$105*3*Assumptions!$C$63+Assumptions!I$31*INDEX(Assumptions!$C$77:$C$84,3)*Assumptions!$C$105*3*Assumptions!$C$63+Assumptions!J$31*INDEX(Assumptions!$C$77:$C$84,2)*Assumptions!$C$105*3*Assumptions!$C$63</f>
        <v>18000</v>
      </c>
      <c r="N107" s="6" t="n">
        <f aca="false">Assumptions!C$31*1*Assumptions!$C$105*3*Assumptions!$C$63+Assumptions!D$31*1*Assumptions!$C$105*3*Assumptions!$C$63+Assumptions!E$31*1*Assumptions!$C$105*3*Assumptions!$C$63+Assumptions!F$31*INDEX(Assumptions!$C$77:$C$84,7)*Assumptions!$C$105*3*Assumptions!$C$63+Assumptions!G$31*INDEX(Assumptions!$C$77:$C$84,6)*Assumptions!$C$105*3*Assumptions!$C$63+Assumptions!H$31*INDEX(Assumptions!$C$77:$C$84,5)*Assumptions!$C$105*3*Assumptions!$C$63+Assumptions!I$31*INDEX(Assumptions!$C$77:$C$84,4)*Assumptions!$C$105*3*Assumptions!$C$63+Assumptions!J$31*INDEX(Assumptions!$C$77:$C$84,3)*Assumptions!$C$105*3*Assumptions!$C$63</f>
        <v>23940</v>
      </c>
      <c r="O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INDEX(Assumptions!$C$77:$C$84,7)*Assumptions!$C$105*3*Assumptions!$C$63+Assumptions!H$31*INDEX(Assumptions!$C$77:$C$84,6)*Assumptions!$C$105*3*Assumptions!$C$63+Assumptions!I$31*INDEX(Assumptions!$C$77:$C$84,5)*Assumptions!$C$105*3*Assumptions!$C$63+Assumptions!J$31*INDEX(Assumptions!$C$77:$C$84,4)*Assumptions!$C$105*3*Assumptions!$C$63</f>
        <v>29340</v>
      </c>
      <c r="P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INDEX(Assumptions!$C$77:$C$84,7)*Assumptions!$C$105*3*Assumptions!$C$63+Assumptions!I$31*INDEX(Assumptions!$C$77:$C$84,6)*Assumptions!$C$105*3*Assumptions!$C$63+Assumptions!J$31*INDEX(Assumptions!$C$77:$C$84,5)*Assumptions!$C$105*3*Assumptions!$C$63</f>
        <v>33840</v>
      </c>
      <c r="Q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1*Assumptions!$C$105*3*Assumptions!$C$63+Assumptions!I$31*INDEX(Assumptions!$C$77:$C$84,7)*Assumptions!$C$105*3*Assumptions!$C$63+Assumptions!J$31*INDEX(Assumptions!$C$77:$C$84,6)*Assumptions!$C$105*3*Assumptions!$C$63</f>
        <v>36000</v>
      </c>
      <c r="R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1*Assumptions!$C$105*3*Assumptions!$C$63+Assumptions!I$31*1*Assumptions!$C$105*3*Assumptions!$C$63+Assumptions!J$31*INDEX(Assumptions!$C$77:$C$84,7)*Assumptions!$C$105*3*Assumptions!$C$63</f>
        <v>36000</v>
      </c>
      <c r="S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1*Assumptions!$C$105*3*Assumptions!$C$63+Assumptions!I$31*1*Assumptions!$C$105*3*Assumptions!$C$63+Assumptions!J$31*1*Assumptions!$C$105*3*Assumptions!$C$63</f>
        <v>36000</v>
      </c>
      <c r="T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1*Assumptions!$C$105*3*Assumptions!$C$63+Assumptions!I$31*1*Assumptions!$C$105*3*Assumptions!$C$63+Assumptions!J$31*1*Assumptions!$C$105*3*Assumptions!$C$63</f>
        <v>36000</v>
      </c>
      <c r="U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1*Assumptions!$C$105*3*Assumptions!$C$63+Assumptions!I$31*1*Assumptions!$C$105*3*Assumptions!$C$63+Assumptions!J$31*1*Assumptions!$C$105*3*Assumptions!$C$63</f>
        <v>36000</v>
      </c>
      <c r="V107" s="6" t="n">
        <f aca="false">Assumptions!C$31*1*Assumptions!$C$105*3*Assumptions!$C$63+Assumptions!D$31*1*Assumptions!$C$105*3*Assumptions!$C$63+Assumptions!E$31*1*Assumptions!$C$105*3*Assumptions!$C$63+Assumptions!F$31*1*Assumptions!$C$105*3*Assumptions!$C$63+Assumptions!G$31*1*Assumptions!$C$105*3*Assumptions!$C$63+Assumptions!H$31*1*Assumptions!$C$105*3*Assumptions!$C$63+Assumptions!I$31*1*Assumptions!$C$105*3*Assumptions!$C$63+Assumptions!J$31*1*Assumptions!$C$105*3*Assumptions!$C$63</f>
        <v>36000</v>
      </c>
    </row>
    <row r="108" customFormat="false" ht="15" hidden="false" customHeight="false" outlineLevel="0" collapsed="false">
      <c r="B108" s="10" t="s">
        <v>46</v>
      </c>
      <c r="C108" s="6" t="n">
        <v>0</v>
      </c>
      <c r="D108" s="6" t="n">
        <v>0</v>
      </c>
      <c r="E108" s="6" t="n">
        <f aca="false">Assumptions!C$32*INDEX(Assumptions!$C$77:$C$84,1)*Assumptions!$C$105*3*Assumptions!$C$63</f>
        <v>0</v>
      </c>
      <c r="F108" s="6" t="n">
        <f aca="false">Assumptions!C$32*INDEX(Assumptions!$C$77:$C$84,2)*Assumptions!$C$105*3*Assumptions!$C$63+Assumptions!D$32*INDEX(Assumptions!$C$77:$C$84,1)*Assumptions!$C$105*3*Assumptions!$C$63</f>
        <v>0</v>
      </c>
      <c r="G108" s="6" t="n">
        <f aca="false">Assumptions!C$32*INDEX(Assumptions!$C$77:$C$84,3)*Assumptions!$C$105*3*Assumptions!$C$63+Assumptions!D$32*INDEX(Assumptions!$C$77:$C$84,2)*Assumptions!$C$105*3*Assumptions!$C$63+Assumptions!E$32*INDEX(Assumptions!$C$77:$C$84,1)*Assumptions!$C$105*3*Assumptions!$C$63</f>
        <v>0</v>
      </c>
      <c r="H108" s="6" t="n">
        <f aca="false">Assumptions!C$32*INDEX(Assumptions!$C$77:$C$84,4)*Assumptions!$C$105*3*Assumptions!$C$63+Assumptions!D$32*INDEX(Assumptions!$C$77:$C$84,3)*Assumptions!$C$105*3*Assumptions!$C$63+Assumptions!E$32*INDEX(Assumptions!$C$77:$C$84,2)*Assumptions!$C$105*3*Assumptions!$C$63+Assumptions!F$32*INDEX(Assumptions!$C$77:$C$84,1)*Assumptions!$C$105*3*Assumptions!$C$63</f>
        <v>0</v>
      </c>
      <c r="I108" s="6" t="n">
        <f aca="false">Assumptions!C$32*INDEX(Assumptions!$C$77:$C$84,5)*Assumptions!$C$105*3*Assumptions!$C$63+Assumptions!D$32*INDEX(Assumptions!$C$77:$C$84,4)*Assumptions!$C$105*3*Assumptions!$C$63+Assumptions!E$32*INDEX(Assumptions!$C$77:$C$84,3)*Assumptions!$C$105*3*Assumptions!$C$63+Assumptions!F$32*INDEX(Assumptions!$C$77:$C$84,2)*Assumptions!$C$105*3*Assumptions!$C$63+Assumptions!G$32*INDEX(Assumptions!$C$77:$C$84,1)*Assumptions!$C$105*3*Assumptions!$C$63</f>
        <v>0</v>
      </c>
      <c r="J108" s="6" t="n">
        <f aca="false">Assumptions!C$32*INDEX(Assumptions!$C$77:$C$84,6)*Assumptions!$C$105*3*Assumptions!$C$63+Assumptions!D$32*INDEX(Assumptions!$C$77:$C$84,5)*Assumptions!$C$105*3*Assumptions!$C$63+Assumptions!E$32*INDEX(Assumptions!$C$77:$C$84,4)*Assumptions!$C$105*3*Assumptions!$C$63+Assumptions!F$32*INDEX(Assumptions!$C$77:$C$84,3)*Assumptions!$C$105*3*Assumptions!$C$63+Assumptions!G$32*INDEX(Assumptions!$C$77:$C$84,2)*Assumptions!$C$105*3*Assumptions!$C$63+Assumptions!H$32*INDEX(Assumptions!$C$77:$C$84,1)*Assumptions!$C$105*3*Assumptions!$C$63</f>
        <v>2160</v>
      </c>
      <c r="K108" s="6" t="n">
        <f aca="false">Assumptions!C$32*INDEX(Assumptions!$C$77:$C$84,7)*Assumptions!$C$105*3*Assumptions!$C$63+Assumptions!D$32*INDEX(Assumptions!$C$77:$C$84,6)*Assumptions!$C$105*3*Assumptions!$C$63+Assumptions!E$32*INDEX(Assumptions!$C$77:$C$84,5)*Assumptions!$C$105*3*Assumptions!$C$63+Assumptions!F$32*INDEX(Assumptions!$C$77:$C$84,4)*Assumptions!$C$105*3*Assumptions!$C$63+Assumptions!G$32*INDEX(Assumptions!$C$77:$C$84,3)*Assumptions!$C$105*3*Assumptions!$C$63+Assumptions!H$32*INDEX(Assumptions!$C$77:$C$84,2)*Assumptions!$C$105*3*Assumptions!$C$63+Assumptions!I$32*INDEX(Assumptions!$C$77:$C$84,1)*Assumptions!$C$105*3*Assumptions!$C$63</f>
        <v>6480</v>
      </c>
      <c r="L108" s="6" t="n">
        <f aca="false">Assumptions!C$32*1*Assumptions!$C$105*3*Assumptions!$C$63+Assumptions!D$32*INDEX(Assumptions!$C$77:$C$84,7)*Assumptions!$C$105*3*Assumptions!$C$63+Assumptions!E$32*INDEX(Assumptions!$C$77:$C$84,6)*Assumptions!$C$105*3*Assumptions!$C$63+Assumptions!F$32*INDEX(Assumptions!$C$77:$C$84,5)*Assumptions!$C$105*3*Assumptions!$C$63+Assumptions!G$32*INDEX(Assumptions!$C$77:$C$84,4)*Assumptions!$C$105*3*Assumptions!$C$63+Assumptions!H$32*INDEX(Assumptions!$C$77:$C$84,3)*Assumptions!$C$105*3*Assumptions!$C$63+Assumptions!I$32*INDEX(Assumptions!$C$77:$C$84,2)*Assumptions!$C$105*3*Assumptions!$C$63+Assumptions!J$32*INDEX(Assumptions!$C$77:$C$84,1)*Assumptions!$C$105*3*Assumptions!$C$63</f>
        <v>9900</v>
      </c>
      <c r="M108" s="6" t="n">
        <f aca="false">Assumptions!C$32*1*Assumptions!$C$105*3*Assumptions!$C$63+Assumptions!D$32*1*Assumptions!$C$105*3*Assumptions!$C$63+Assumptions!E$32*INDEX(Assumptions!$C$77:$C$84,7)*Assumptions!$C$105*3*Assumptions!$C$63+Assumptions!F$32*INDEX(Assumptions!$C$77:$C$84,6)*Assumptions!$C$105*3*Assumptions!$C$63+Assumptions!G$32*INDEX(Assumptions!$C$77:$C$84,5)*Assumptions!$C$105*3*Assumptions!$C$63+Assumptions!H$32*INDEX(Assumptions!$C$77:$C$84,4)*Assumptions!$C$105*3*Assumptions!$C$63+Assumptions!I$32*INDEX(Assumptions!$C$77:$C$84,3)*Assumptions!$C$105*3*Assumptions!$C$63+Assumptions!J$32*INDEX(Assumptions!$C$77:$C$84,2)*Assumptions!$C$105*3*Assumptions!$C$63</f>
        <v>15120</v>
      </c>
      <c r="N108" s="6" t="n">
        <f aca="false">Assumptions!C$32*1*Assumptions!$C$105*3*Assumptions!$C$63+Assumptions!D$32*1*Assumptions!$C$105*3*Assumptions!$C$63+Assumptions!E$32*1*Assumptions!$C$105*3*Assumptions!$C$63+Assumptions!F$32*INDEX(Assumptions!$C$77:$C$84,7)*Assumptions!$C$105*3*Assumptions!$C$63+Assumptions!G$32*INDEX(Assumptions!$C$77:$C$84,6)*Assumptions!$C$105*3*Assumptions!$C$63+Assumptions!H$32*INDEX(Assumptions!$C$77:$C$84,5)*Assumptions!$C$105*3*Assumptions!$C$63+Assumptions!I$32*INDEX(Assumptions!$C$77:$C$84,4)*Assumptions!$C$105*3*Assumptions!$C$63+Assumptions!J$32*INDEX(Assumptions!$C$77:$C$84,3)*Assumptions!$C$105*3*Assumptions!$C$63</f>
        <v>21780</v>
      </c>
      <c r="O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INDEX(Assumptions!$C$77:$C$84,7)*Assumptions!$C$105*3*Assumptions!$C$63+Assumptions!H$32*INDEX(Assumptions!$C$77:$C$84,6)*Assumptions!$C$105*3*Assumptions!$C$63+Assumptions!I$32*INDEX(Assumptions!$C$77:$C$84,5)*Assumptions!$C$105*3*Assumptions!$C$63+Assumptions!J$32*INDEX(Assumptions!$C$77:$C$84,4)*Assumptions!$C$105*3*Assumptions!$C$63</f>
        <v>29160</v>
      </c>
      <c r="P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INDEX(Assumptions!$C$77:$C$84,7)*Assumptions!$C$105*3*Assumptions!$C$63+Assumptions!I$32*INDEX(Assumptions!$C$77:$C$84,6)*Assumptions!$C$105*3*Assumptions!$C$63+Assumptions!J$32*INDEX(Assumptions!$C$77:$C$84,5)*Assumptions!$C$105*3*Assumptions!$C$63</f>
        <v>36090</v>
      </c>
      <c r="Q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1*Assumptions!$C$105*3*Assumptions!$C$63+Assumptions!I$32*INDEX(Assumptions!$C$77:$C$84,7)*Assumptions!$C$105*3*Assumptions!$C$63+Assumptions!J$32*INDEX(Assumptions!$C$77:$C$84,6)*Assumptions!$C$105*3*Assumptions!$C$63</f>
        <v>41760</v>
      </c>
      <c r="R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1*Assumptions!$C$105*3*Assumptions!$C$63+Assumptions!I$32*1*Assumptions!$C$105*3*Assumptions!$C$63+Assumptions!J$32*INDEX(Assumptions!$C$77:$C$84,7)*Assumptions!$C$105*3*Assumptions!$C$63</f>
        <v>45000</v>
      </c>
      <c r="S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1*Assumptions!$C$105*3*Assumptions!$C$63+Assumptions!I$32*1*Assumptions!$C$105*3*Assumptions!$C$63+Assumptions!J$32*1*Assumptions!$C$105*3*Assumptions!$C$63</f>
        <v>45000</v>
      </c>
      <c r="T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1*Assumptions!$C$105*3*Assumptions!$C$63+Assumptions!I$32*1*Assumptions!$C$105*3*Assumptions!$C$63+Assumptions!J$32*1*Assumptions!$C$105*3*Assumptions!$C$63</f>
        <v>45000</v>
      </c>
      <c r="U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1*Assumptions!$C$105*3*Assumptions!$C$63+Assumptions!I$32*1*Assumptions!$C$105*3*Assumptions!$C$63+Assumptions!J$32*1*Assumptions!$C$105*3*Assumptions!$C$63</f>
        <v>45000</v>
      </c>
      <c r="V108" s="6" t="n">
        <f aca="false">Assumptions!C$32*1*Assumptions!$C$105*3*Assumptions!$C$63+Assumptions!D$32*1*Assumptions!$C$105*3*Assumptions!$C$63+Assumptions!E$32*1*Assumptions!$C$105*3*Assumptions!$C$63+Assumptions!F$32*1*Assumptions!$C$105*3*Assumptions!$C$63+Assumptions!G$32*1*Assumptions!$C$105*3*Assumptions!$C$63+Assumptions!H$32*1*Assumptions!$C$105*3*Assumptions!$C$63+Assumptions!I$32*1*Assumptions!$C$105*3*Assumptions!$C$63+Assumptions!J$32*1*Assumptions!$C$105*3*Assumptions!$C$63</f>
        <v>45000</v>
      </c>
    </row>
    <row r="109" customFormat="false" ht="15" hidden="false" customHeight="false" outlineLevel="0" collapsed="false">
      <c r="B109" s="10" t="s">
        <v>47</v>
      </c>
      <c r="C109" s="6" t="n">
        <v>0</v>
      </c>
      <c r="D109" s="6" t="n">
        <v>0</v>
      </c>
      <c r="E109" s="6" t="n">
        <f aca="false">Assumptions!C$33*INDEX(Assumptions!$C$77:$C$84,1)*Assumptions!$C$105*3*Assumptions!$C$63</f>
        <v>0</v>
      </c>
      <c r="F109" s="6" t="n">
        <f aca="false">Assumptions!C$33*INDEX(Assumptions!$C$77:$C$84,2)*Assumptions!$C$105*3*Assumptions!$C$63+Assumptions!D$33*INDEX(Assumptions!$C$77:$C$84,1)*Assumptions!$C$105*3*Assumptions!$C$63</f>
        <v>0</v>
      </c>
      <c r="G109" s="6" t="n">
        <f aca="false">Assumptions!C$33*INDEX(Assumptions!$C$77:$C$84,3)*Assumptions!$C$105*3*Assumptions!$C$63+Assumptions!D$33*INDEX(Assumptions!$C$77:$C$84,2)*Assumptions!$C$105*3*Assumptions!$C$63+Assumptions!E$33*INDEX(Assumptions!$C$77:$C$84,1)*Assumptions!$C$105*3*Assumptions!$C$63</f>
        <v>0</v>
      </c>
      <c r="H109" s="6" t="n">
        <f aca="false">Assumptions!C$33*INDEX(Assumptions!$C$77:$C$84,4)*Assumptions!$C$105*3*Assumptions!$C$63+Assumptions!D$33*INDEX(Assumptions!$C$77:$C$84,3)*Assumptions!$C$105*3*Assumptions!$C$63+Assumptions!E$33*INDEX(Assumptions!$C$77:$C$84,2)*Assumptions!$C$105*3*Assumptions!$C$63+Assumptions!F$33*INDEX(Assumptions!$C$77:$C$84,1)*Assumptions!$C$105*3*Assumptions!$C$63</f>
        <v>0</v>
      </c>
      <c r="I109" s="6" t="n">
        <f aca="false">Assumptions!C$33*INDEX(Assumptions!$C$77:$C$84,5)*Assumptions!$C$105*3*Assumptions!$C$63+Assumptions!D$33*INDEX(Assumptions!$C$77:$C$84,4)*Assumptions!$C$105*3*Assumptions!$C$63+Assumptions!E$33*INDEX(Assumptions!$C$77:$C$84,3)*Assumptions!$C$105*3*Assumptions!$C$63+Assumptions!F$33*INDEX(Assumptions!$C$77:$C$84,2)*Assumptions!$C$105*3*Assumptions!$C$63+Assumptions!G$33*INDEX(Assumptions!$C$77:$C$84,1)*Assumptions!$C$105*3*Assumptions!$C$63</f>
        <v>0</v>
      </c>
      <c r="J109" s="6" t="n">
        <f aca="false">Assumptions!C$33*INDEX(Assumptions!$C$77:$C$84,6)*Assumptions!$C$105*3*Assumptions!$C$63+Assumptions!D$33*INDEX(Assumptions!$C$77:$C$84,5)*Assumptions!$C$105*3*Assumptions!$C$63+Assumptions!E$33*INDEX(Assumptions!$C$77:$C$84,4)*Assumptions!$C$105*3*Assumptions!$C$63+Assumptions!F$33*INDEX(Assumptions!$C$77:$C$84,3)*Assumptions!$C$105*3*Assumptions!$C$63+Assumptions!G$33*INDEX(Assumptions!$C$77:$C$84,2)*Assumptions!$C$105*3*Assumptions!$C$63+Assumptions!H$33*INDEX(Assumptions!$C$77:$C$84,1)*Assumptions!$C$105*3*Assumptions!$C$63</f>
        <v>0</v>
      </c>
      <c r="K109" s="6" t="n">
        <f aca="false">Assumptions!C$33*INDEX(Assumptions!$C$77:$C$84,7)*Assumptions!$C$105*3*Assumptions!$C$63+Assumptions!D$33*INDEX(Assumptions!$C$77:$C$84,6)*Assumptions!$C$105*3*Assumptions!$C$63+Assumptions!E$33*INDEX(Assumptions!$C$77:$C$84,5)*Assumptions!$C$105*3*Assumptions!$C$63+Assumptions!F$33*INDEX(Assumptions!$C$77:$C$84,4)*Assumptions!$C$105*3*Assumptions!$C$63+Assumptions!G$33*INDEX(Assumptions!$C$77:$C$84,3)*Assumptions!$C$105*3*Assumptions!$C$63+Assumptions!H$33*INDEX(Assumptions!$C$77:$C$84,2)*Assumptions!$C$105*3*Assumptions!$C$63+Assumptions!I$33*INDEX(Assumptions!$C$77:$C$84,1)*Assumptions!$C$105*3*Assumptions!$C$63</f>
        <v>2160</v>
      </c>
      <c r="L109" s="6" t="n">
        <f aca="false">Assumptions!C$33*1*Assumptions!$C$105*3*Assumptions!$C$63+Assumptions!D$33*INDEX(Assumptions!$C$77:$C$84,7)*Assumptions!$C$105*3*Assumptions!$C$63+Assumptions!E$33*INDEX(Assumptions!$C$77:$C$84,6)*Assumptions!$C$105*3*Assumptions!$C$63+Assumptions!F$33*INDEX(Assumptions!$C$77:$C$84,5)*Assumptions!$C$105*3*Assumptions!$C$63+Assumptions!G$33*INDEX(Assumptions!$C$77:$C$84,4)*Assumptions!$C$105*3*Assumptions!$C$63+Assumptions!H$33*INDEX(Assumptions!$C$77:$C$84,3)*Assumptions!$C$105*3*Assumptions!$C$63+Assumptions!I$33*INDEX(Assumptions!$C$77:$C$84,2)*Assumptions!$C$105*3*Assumptions!$C$63+Assumptions!J$33*INDEX(Assumptions!$C$77:$C$84,1)*Assumptions!$C$105*3*Assumptions!$C$63</f>
        <v>4320</v>
      </c>
      <c r="M109" s="6" t="n">
        <f aca="false">Assumptions!C$33*1*Assumptions!$C$105*3*Assumptions!$C$63+Assumptions!D$33*1*Assumptions!$C$105*3*Assumptions!$C$63+Assumptions!E$33*INDEX(Assumptions!$C$77:$C$84,7)*Assumptions!$C$105*3*Assumptions!$C$63+Assumptions!F$33*INDEX(Assumptions!$C$77:$C$84,6)*Assumptions!$C$105*3*Assumptions!$C$63+Assumptions!G$33*INDEX(Assumptions!$C$77:$C$84,5)*Assumptions!$C$105*3*Assumptions!$C$63+Assumptions!H$33*INDEX(Assumptions!$C$77:$C$84,4)*Assumptions!$C$105*3*Assumptions!$C$63+Assumptions!I$33*INDEX(Assumptions!$C$77:$C$84,3)*Assumptions!$C$105*3*Assumptions!$C$63+Assumptions!J$33*INDEX(Assumptions!$C$77:$C$84,2)*Assumptions!$C$105*3*Assumptions!$C$63</f>
        <v>6660</v>
      </c>
      <c r="N109" s="6" t="n">
        <f aca="false">Assumptions!C$33*1*Assumptions!$C$105*3*Assumptions!$C$63+Assumptions!D$33*1*Assumptions!$C$105*3*Assumptions!$C$63+Assumptions!E$33*1*Assumptions!$C$105*3*Assumptions!$C$63+Assumptions!F$33*INDEX(Assumptions!$C$77:$C$84,7)*Assumptions!$C$105*3*Assumptions!$C$63+Assumptions!G$33*INDEX(Assumptions!$C$77:$C$84,6)*Assumptions!$C$105*3*Assumptions!$C$63+Assumptions!H$33*INDEX(Assumptions!$C$77:$C$84,5)*Assumptions!$C$105*3*Assumptions!$C$63+Assumptions!I$33*INDEX(Assumptions!$C$77:$C$84,4)*Assumptions!$C$105*3*Assumptions!$C$63+Assumptions!J$33*INDEX(Assumptions!$C$77:$C$84,3)*Assumptions!$C$105*3*Assumptions!$C$63</f>
        <v>10080</v>
      </c>
      <c r="O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INDEX(Assumptions!$C$77:$C$84,7)*Assumptions!$C$105*3*Assumptions!$C$63+Assumptions!H$33*INDEX(Assumptions!$C$77:$C$84,6)*Assumptions!$C$105*3*Assumptions!$C$63+Assumptions!I$33*INDEX(Assumptions!$C$77:$C$84,5)*Assumptions!$C$105*3*Assumptions!$C$63+Assumptions!J$33*INDEX(Assumptions!$C$77:$C$84,4)*Assumptions!$C$105*3*Assumptions!$C$63</f>
        <v>14220</v>
      </c>
      <c r="P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INDEX(Assumptions!$C$77:$C$84,7)*Assumptions!$C$105*3*Assumptions!$C$63+Assumptions!I$33*INDEX(Assumptions!$C$77:$C$84,6)*Assumptions!$C$105*3*Assumptions!$C$63+Assumptions!J$33*INDEX(Assumptions!$C$77:$C$84,5)*Assumptions!$C$105*3*Assumptions!$C$63</f>
        <v>18720</v>
      </c>
      <c r="Q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1*Assumptions!$C$105*3*Assumptions!$C$63+Assumptions!I$33*INDEX(Assumptions!$C$77:$C$84,7)*Assumptions!$C$105*3*Assumptions!$C$63+Assumptions!J$33*INDEX(Assumptions!$C$77:$C$84,6)*Assumptions!$C$105*3*Assumptions!$C$63</f>
        <v>22590</v>
      </c>
      <c r="R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1*Assumptions!$C$105*3*Assumptions!$C$63+Assumptions!I$33*1*Assumptions!$C$105*3*Assumptions!$C$63+Assumptions!J$33*INDEX(Assumptions!$C$77:$C$84,7)*Assumptions!$C$105*3*Assumptions!$C$63</f>
        <v>25920</v>
      </c>
      <c r="S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1*Assumptions!$C$105*3*Assumptions!$C$63+Assumptions!I$33*1*Assumptions!$C$105*3*Assumptions!$C$63+Assumptions!J$33*1*Assumptions!$C$105*3*Assumptions!$C$63</f>
        <v>27000</v>
      </c>
      <c r="T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1*Assumptions!$C$105*3*Assumptions!$C$63+Assumptions!I$33*1*Assumptions!$C$105*3*Assumptions!$C$63+Assumptions!J$33*1*Assumptions!$C$105*3*Assumptions!$C$63</f>
        <v>27000</v>
      </c>
      <c r="U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1*Assumptions!$C$105*3*Assumptions!$C$63+Assumptions!I$33*1*Assumptions!$C$105*3*Assumptions!$C$63+Assumptions!J$33*1*Assumptions!$C$105*3*Assumptions!$C$63</f>
        <v>27000</v>
      </c>
      <c r="V109" s="6" t="n">
        <f aca="false">Assumptions!C$33*1*Assumptions!$C$105*3*Assumptions!$C$63+Assumptions!D$33*1*Assumptions!$C$105*3*Assumptions!$C$63+Assumptions!E$33*1*Assumptions!$C$105*3*Assumptions!$C$63+Assumptions!F$33*1*Assumptions!$C$105*3*Assumptions!$C$63+Assumptions!G$33*1*Assumptions!$C$105*3*Assumptions!$C$63+Assumptions!H$33*1*Assumptions!$C$105*3*Assumptions!$C$63+Assumptions!I$33*1*Assumptions!$C$105*3*Assumptions!$C$63+Assumptions!J$33*1*Assumptions!$C$105*3*Assumptions!$C$63</f>
        <v>27000</v>
      </c>
    </row>
    <row r="110" customFormat="false" ht="15" hidden="false" customHeight="false" outlineLevel="0" collapsed="false">
      <c r="B110" s="10" t="s">
        <v>48</v>
      </c>
      <c r="C110" s="6" t="n">
        <v>0</v>
      </c>
      <c r="D110" s="6" t="n">
        <v>0</v>
      </c>
      <c r="E110" s="6" t="n">
        <f aca="false">Assumptions!C$34*INDEX(Assumptions!$C$77:$C$84,1)*Assumptions!$C$105*3*Assumptions!$C$63</f>
        <v>0</v>
      </c>
      <c r="F110" s="6" t="n">
        <f aca="false">Assumptions!C$34*INDEX(Assumptions!$C$77:$C$84,2)*Assumptions!$C$105*3*Assumptions!$C$63+Assumptions!D$34*INDEX(Assumptions!$C$77:$C$84,1)*Assumptions!$C$105*3*Assumptions!$C$63</f>
        <v>0</v>
      </c>
      <c r="G110" s="6" t="n">
        <f aca="false">Assumptions!C$34*INDEX(Assumptions!$C$77:$C$84,3)*Assumptions!$C$105*3*Assumptions!$C$63+Assumptions!D$34*INDEX(Assumptions!$C$77:$C$84,2)*Assumptions!$C$105*3*Assumptions!$C$63+Assumptions!E$34*INDEX(Assumptions!$C$77:$C$84,1)*Assumptions!$C$105*3*Assumptions!$C$63</f>
        <v>0</v>
      </c>
      <c r="H110" s="6" t="n">
        <f aca="false">Assumptions!C$34*INDEX(Assumptions!$C$77:$C$84,4)*Assumptions!$C$105*3*Assumptions!$C$63+Assumptions!D$34*INDEX(Assumptions!$C$77:$C$84,3)*Assumptions!$C$105*3*Assumptions!$C$63+Assumptions!E$34*INDEX(Assumptions!$C$77:$C$84,2)*Assumptions!$C$105*3*Assumptions!$C$63+Assumptions!F$34*INDEX(Assumptions!$C$77:$C$84,1)*Assumptions!$C$105*3*Assumptions!$C$63</f>
        <v>0</v>
      </c>
      <c r="I110" s="6" t="n">
        <f aca="false">Assumptions!C$34*INDEX(Assumptions!$C$77:$C$84,5)*Assumptions!$C$105*3*Assumptions!$C$63+Assumptions!D$34*INDEX(Assumptions!$C$77:$C$84,4)*Assumptions!$C$105*3*Assumptions!$C$63+Assumptions!E$34*INDEX(Assumptions!$C$77:$C$84,3)*Assumptions!$C$105*3*Assumptions!$C$63+Assumptions!F$34*INDEX(Assumptions!$C$77:$C$84,2)*Assumptions!$C$105*3*Assumptions!$C$63+Assumptions!G$34*INDEX(Assumptions!$C$77:$C$84,1)*Assumptions!$C$105*3*Assumptions!$C$63</f>
        <v>0</v>
      </c>
      <c r="J110" s="6" t="n">
        <f aca="false">Assumptions!C$34*INDEX(Assumptions!$C$77:$C$84,6)*Assumptions!$C$105*3*Assumptions!$C$63+Assumptions!D$34*INDEX(Assumptions!$C$77:$C$84,5)*Assumptions!$C$105*3*Assumptions!$C$63+Assumptions!E$34*INDEX(Assumptions!$C$77:$C$84,4)*Assumptions!$C$105*3*Assumptions!$C$63+Assumptions!F$34*INDEX(Assumptions!$C$77:$C$84,3)*Assumptions!$C$105*3*Assumptions!$C$63+Assumptions!G$34*INDEX(Assumptions!$C$77:$C$84,2)*Assumptions!$C$105*3*Assumptions!$C$63+Assumptions!H$34*INDEX(Assumptions!$C$77:$C$84,1)*Assumptions!$C$105*3*Assumptions!$C$63</f>
        <v>0</v>
      </c>
      <c r="K110" s="6" t="n">
        <f aca="false">Assumptions!C$34*INDEX(Assumptions!$C$77:$C$84,7)*Assumptions!$C$105*3*Assumptions!$C$63+Assumptions!D$34*INDEX(Assumptions!$C$77:$C$84,6)*Assumptions!$C$105*3*Assumptions!$C$63+Assumptions!E$34*INDEX(Assumptions!$C$77:$C$84,5)*Assumptions!$C$105*3*Assumptions!$C$63+Assumptions!F$34*INDEX(Assumptions!$C$77:$C$84,4)*Assumptions!$C$105*3*Assumptions!$C$63+Assumptions!G$34*INDEX(Assumptions!$C$77:$C$84,3)*Assumptions!$C$105*3*Assumptions!$C$63+Assumptions!H$34*INDEX(Assumptions!$C$77:$C$84,2)*Assumptions!$C$105*3*Assumptions!$C$63+Assumptions!I$34*INDEX(Assumptions!$C$77:$C$84,1)*Assumptions!$C$105*3*Assumptions!$C$63</f>
        <v>0</v>
      </c>
      <c r="L110" s="6" t="n">
        <f aca="false">Assumptions!C$34*1*Assumptions!$C$105*3*Assumptions!$C$63+Assumptions!D$34*INDEX(Assumptions!$C$77:$C$84,7)*Assumptions!$C$105*3*Assumptions!$C$63+Assumptions!E$34*INDEX(Assumptions!$C$77:$C$84,6)*Assumptions!$C$105*3*Assumptions!$C$63+Assumptions!F$34*INDEX(Assumptions!$C$77:$C$84,5)*Assumptions!$C$105*3*Assumptions!$C$63+Assumptions!G$34*INDEX(Assumptions!$C$77:$C$84,4)*Assumptions!$C$105*3*Assumptions!$C$63+Assumptions!H$34*INDEX(Assumptions!$C$77:$C$84,3)*Assumptions!$C$105*3*Assumptions!$C$63+Assumptions!I$34*INDEX(Assumptions!$C$77:$C$84,2)*Assumptions!$C$105*3*Assumptions!$C$63+Assumptions!J$34*INDEX(Assumptions!$C$77:$C$84,1)*Assumptions!$C$105*3*Assumptions!$C$63</f>
        <v>2160</v>
      </c>
      <c r="M110" s="6" t="n">
        <f aca="false">Assumptions!C$34*1*Assumptions!$C$105*3*Assumptions!$C$63+Assumptions!D$34*1*Assumptions!$C$105*3*Assumptions!$C$63+Assumptions!E$34*INDEX(Assumptions!$C$77:$C$84,7)*Assumptions!$C$105*3*Assumptions!$C$63+Assumptions!F$34*INDEX(Assumptions!$C$77:$C$84,6)*Assumptions!$C$105*3*Assumptions!$C$63+Assumptions!G$34*INDEX(Assumptions!$C$77:$C$84,5)*Assumptions!$C$105*3*Assumptions!$C$63+Assumptions!H$34*INDEX(Assumptions!$C$77:$C$84,4)*Assumptions!$C$105*3*Assumptions!$C$63+Assumptions!I$34*INDEX(Assumptions!$C$77:$C$84,3)*Assumptions!$C$105*3*Assumptions!$C$63+Assumptions!J$34*INDEX(Assumptions!$C$77:$C$84,2)*Assumptions!$C$105*3*Assumptions!$C$63</f>
        <v>3240</v>
      </c>
      <c r="N110" s="6" t="n">
        <f aca="false">Assumptions!C$34*1*Assumptions!$C$105*3*Assumptions!$C$63+Assumptions!D$34*1*Assumptions!$C$105*3*Assumptions!$C$63+Assumptions!E$34*1*Assumptions!$C$105*3*Assumptions!$C$63+Assumptions!F$34*INDEX(Assumptions!$C$77:$C$84,7)*Assumptions!$C$105*3*Assumptions!$C$63+Assumptions!G$34*INDEX(Assumptions!$C$77:$C$84,6)*Assumptions!$C$105*3*Assumptions!$C$63+Assumptions!H$34*INDEX(Assumptions!$C$77:$C$84,5)*Assumptions!$C$105*3*Assumptions!$C$63+Assumptions!I$34*INDEX(Assumptions!$C$77:$C$84,4)*Assumptions!$C$105*3*Assumptions!$C$63+Assumptions!J$34*INDEX(Assumptions!$C$77:$C$84,3)*Assumptions!$C$105*3*Assumptions!$C$63</f>
        <v>5040</v>
      </c>
      <c r="O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INDEX(Assumptions!$C$77:$C$84,7)*Assumptions!$C$105*3*Assumptions!$C$63+Assumptions!H$34*INDEX(Assumptions!$C$77:$C$84,6)*Assumptions!$C$105*3*Assumptions!$C$63+Assumptions!I$34*INDEX(Assumptions!$C$77:$C$84,5)*Assumptions!$C$105*3*Assumptions!$C$63+Assumptions!J$34*INDEX(Assumptions!$C$77:$C$84,4)*Assumptions!$C$105*3*Assumptions!$C$63</f>
        <v>7560</v>
      </c>
      <c r="P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INDEX(Assumptions!$C$77:$C$84,7)*Assumptions!$C$105*3*Assumptions!$C$63+Assumptions!I$34*INDEX(Assumptions!$C$77:$C$84,6)*Assumptions!$C$105*3*Assumptions!$C$63+Assumptions!J$34*INDEX(Assumptions!$C$77:$C$84,5)*Assumptions!$C$105*3*Assumptions!$C$63</f>
        <v>10440</v>
      </c>
      <c r="Q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1*Assumptions!$C$105*3*Assumptions!$C$63+Assumptions!I$34*INDEX(Assumptions!$C$77:$C$84,7)*Assumptions!$C$105*3*Assumptions!$C$63+Assumptions!J$34*INDEX(Assumptions!$C$77:$C$84,6)*Assumptions!$C$105*3*Assumptions!$C$63</f>
        <v>13500</v>
      </c>
      <c r="R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1*Assumptions!$C$105*3*Assumptions!$C$63+Assumptions!I$34*1*Assumptions!$C$105*3*Assumptions!$C$63+Assumptions!J$34*INDEX(Assumptions!$C$77:$C$84,7)*Assumptions!$C$105*3*Assumptions!$C$63</f>
        <v>15840</v>
      </c>
      <c r="S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1*Assumptions!$C$105*3*Assumptions!$C$63+Assumptions!I$34*1*Assumptions!$C$105*3*Assumptions!$C$63+Assumptions!J$34*1*Assumptions!$C$105*3*Assumptions!$C$63</f>
        <v>18000</v>
      </c>
      <c r="T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1*Assumptions!$C$105*3*Assumptions!$C$63+Assumptions!I$34*1*Assumptions!$C$105*3*Assumptions!$C$63+Assumptions!J$34*1*Assumptions!$C$105*3*Assumptions!$C$63</f>
        <v>18000</v>
      </c>
      <c r="U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1*Assumptions!$C$105*3*Assumptions!$C$63+Assumptions!I$34*1*Assumptions!$C$105*3*Assumptions!$C$63+Assumptions!J$34*1*Assumptions!$C$105*3*Assumptions!$C$63</f>
        <v>18000</v>
      </c>
      <c r="V110" s="6" t="n">
        <f aca="false">Assumptions!C$34*1*Assumptions!$C$105*3*Assumptions!$C$63+Assumptions!D$34*1*Assumptions!$C$105*3*Assumptions!$C$63+Assumptions!E$34*1*Assumptions!$C$105*3*Assumptions!$C$63+Assumptions!F$34*1*Assumptions!$C$105*3*Assumptions!$C$63+Assumptions!G$34*1*Assumptions!$C$105*3*Assumptions!$C$63+Assumptions!H$34*1*Assumptions!$C$105*3*Assumptions!$C$63+Assumptions!I$34*1*Assumptions!$C$105*3*Assumptions!$C$63+Assumptions!J$34*1*Assumptions!$C$105*3*Assumptions!$C$63</f>
        <v>18000</v>
      </c>
    </row>
    <row r="112" customFormat="false" ht="15" hidden="false" customHeight="false" outlineLevel="0" collapsed="false">
      <c r="B112" s="1" t="s">
        <v>419</v>
      </c>
      <c r="C112" s="21" t="n">
        <f aca="false">C106+C107+C108+C109+C110</f>
        <v>0</v>
      </c>
      <c r="D112" s="21" t="n">
        <f aca="false">D106+D107+D108+D109+D110</f>
        <v>0</v>
      </c>
      <c r="E112" s="21" t="n">
        <f aca="false">E106+E107+E108+E109+E110</f>
        <v>0</v>
      </c>
      <c r="F112" s="21" t="n">
        <f aca="false">F106+F107+F108+F109+F110</f>
        <v>0</v>
      </c>
      <c r="G112" s="21" t="n">
        <f aca="false">G106+G107+G108+G109+G110</f>
        <v>0</v>
      </c>
      <c r="H112" s="21" t="n">
        <f aca="false">H106+H107+H108+H109+H110</f>
        <v>3240</v>
      </c>
      <c r="I112" s="21" t="n">
        <f aca="false">I106+I107+I108+I109+I110</f>
        <v>10260</v>
      </c>
      <c r="J112" s="21" t="n">
        <f aca="false">J106+J107+J108+J109+J110</f>
        <v>19980</v>
      </c>
      <c r="K112" s="21" t="n">
        <f aca="false">K106+K107+K108+K109+K110</f>
        <v>35820</v>
      </c>
      <c r="L112" s="21" t="n">
        <f aca="false">L106+L107+L108+L109+L110</f>
        <v>55980</v>
      </c>
      <c r="M112" s="21" t="n">
        <f aca="false">M106+M107+M108+M109+M110</f>
        <v>78930</v>
      </c>
      <c r="N112" s="21" t="n">
        <f aca="false">N106+N107+N108+N109+N110</f>
        <v>104850</v>
      </c>
      <c r="O112" s="21" t="n">
        <f aca="false">O106+O107+O108+O109+O110</f>
        <v>131040</v>
      </c>
      <c r="P112" s="21" t="n">
        <f aca="false">P106+P107+P108+P109+P110</f>
        <v>153090</v>
      </c>
      <c r="Q112" s="21" t="n">
        <f aca="false">Q106+Q107+Q108+Q109+Q110</f>
        <v>167850</v>
      </c>
      <c r="R112" s="21" t="n">
        <f aca="false">R106+R107+R108+R109+R110</f>
        <v>176760</v>
      </c>
      <c r="S112" s="21" t="n">
        <f aca="false">S106+S107+S108+S109+S110</f>
        <v>180000</v>
      </c>
      <c r="T112" s="21" t="n">
        <f aca="false">T106+T107+T108+T109+T110</f>
        <v>180000</v>
      </c>
      <c r="U112" s="21" t="n">
        <f aca="false">U106+U107+U108+U109+U110</f>
        <v>180000</v>
      </c>
      <c r="V112" s="21" t="n">
        <f aca="false">V106+V107+V108+V109+V110</f>
        <v>180000</v>
      </c>
    </row>
    <row r="114" customFormat="false" ht="15" hidden="false" customHeight="false" outlineLevel="0" collapsed="false">
      <c r="B114" s="1" t="s">
        <v>420</v>
      </c>
    </row>
    <row r="115" customFormat="false" ht="15" hidden="false" customHeight="false" outlineLevel="0" collapsed="false">
      <c r="B115" s="10" t="s">
        <v>421</v>
      </c>
      <c r="C115" s="6" t="n">
        <f aca="false">C24</f>
        <v>0</v>
      </c>
      <c r="D115" s="6" t="n">
        <f aca="false">D24</f>
        <v>840000</v>
      </c>
      <c r="E115" s="6" t="n">
        <f aca="false">E24</f>
        <v>560000</v>
      </c>
      <c r="F115" s="6" t="n">
        <f aca="false">F24</f>
        <v>1435000</v>
      </c>
      <c r="G115" s="6" t="n">
        <f aca="false">G24</f>
        <v>910000</v>
      </c>
      <c r="H115" s="6" t="n">
        <f aca="false">H24</f>
        <v>892500</v>
      </c>
      <c r="I115" s="6" t="n">
        <f aca="false">I24</f>
        <v>367500</v>
      </c>
      <c r="J115" s="6" t="n">
        <f aca="false">J24</f>
        <v>770000</v>
      </c>
      <c r="K115" s="6" t="n">
        <f aca="false">K24</f>
        <v>350000</v>
      </c>
      <c r="L115" s="6" t="n">
        <f aca="false">L24</f>
        <v>437500</v>
      </c>
      <c r="M115" s="6" t="n">
        <f aca="false">M24</f>
        <v>262500</v>
      </c>
      <c r="N115" s="6" t="n">
        <f aca="false">N24</f>
        <v>175000</v>
      </c>
      <c r="O115" s="6" t="n">
        <f aca="false">O24</f>
        <v>0</v>
      </c>
      <c r="P115" s="6" t="n">
        <f aca="false">P24</f>
        <v>0</v>
      </c>
      <c r="Q115" s="6" t="n">
        <f aca="false">Q24</f>
        <v>0</v>
      </c>
      <c r="R115" s="6" t="n">
        <f aca="false">R24</f>
        <v>0</v>
      </c>
      <c r="S115" s="6" t="n">
        <f aca="false">S24</f>
        <v>0</v>
      </c>
      <c r="T115" s="6" t="n">
        <f aca="false">T24</f>
        <v>0</v>
      </c>
      <c r="U115" s="6" t="n">
        <f aca="false">U24</f>
        <v>0</v>
      </c>
      <c r="V115" s="6" t="n">
        <f aca="false">V24</f>
        <v>0</v>
      </c>
    </row>
    <row r="116" customFormat="false" ht="15" hidden="false" customHeight="false" outlineLevel="0" collapsed="false">
      <c r="B116" s="10" t="s">
        <v>422</v>
      </c>
      <c r="C116" s="6" t="n">
        <f aca="false">C33</f>
        <v>0</v>
      </c>
      <c r="D116" s="6" t="n">
        <f aca="false">D33</f>
        <v>255000</v>
      </c>
      <c r="E116" s="6" t="n">
        <f aca="false">E33</f>
        <v>195000</v>
      </c>
      <c r="F116" s="6" t="n">
        <f aca="false">F33</f>
        <v>225000</v>
      </c>
      <c r="G116" s="6" t="n">
        <f aca="false">G33</f>
        <v>165000</v>
      </c>
      <c r="H116" s="6" t="n">
        <f aca="false">H33</f>
        <v>135000</v>
      </c>
      <c r="I116" s="6" t="n">
        <f aca="false">I33</f>
        <v>0</v>
      </c>
      <c r="J116" s="6" t="n">
        <f aca="false">J33</f>
        <v>0</v>
      </c>
      <c r="K116" s="6" t="n">
        <f aca="false">K33</f>
        <v>0</v>
      </c>
      <c r="L116" s="6" t="n">
        <f aca="false">L33</f>
        <v>0</v>
      </c>
      <c r="M116" s="6" t="n">
        <f aca="false">M33</f>
        <v>0</v>
      </c>
      <c r="N116" s="6" t="n">
        <f aca="false">N33</f>
        <v>0</v>
      </c>
      <c r="O116" s="6" t="n">
        <f aca="false">O33</f>
        <v>0</v>
      </c>
      <c r="P116" s="6" t="n">
        <f aca="false">P33</f>
        <v>0</v>
      </c>
      <c r="Q116" s="6" t="n">
        <f aca="false">Q33</f>
        <v>0</v>
      </c>
      <c r="R116" s="6" t="n">
        <f aca="false">R33</f>
        <v>0</v>
      </c>
      <c r="S116" s="6" t="n">
        <f aca="false">S33</f>
        <v>0</v>
      </c>
      <c r="T116" s="6" t="n">
        <f aca="false">T33</f>
        <v>0</v>
      </c>
      <c r="U116" s="6" t="n">
        <f aca="false">U33</f>
        <v>0</v>
      </c>
      <c r="V116" s="6" t="n">
        <f aca="false">V33</f>
        <v>0</v>
      </c>
    </row>
    <row r="117" customFormat="false" ht="15" hidden="false" customHeight="false" outlineLevel="0" collapsed="false">
      <c r="B117" s="10" t="s">
        <v>423</v>
      </c>
      <c r="C117" s="6" t="n">
        <f aca="false">C42</f>
        <v>0</v>
      </c>
      <c r="D117" s="6" t="n">
        <f aca="false">D42</f>
        <v>0</v>
      </c>
      <c r="E117" s="6" t="n">
        <f aca="false">E42</f>
        <v>0</v>
      </c>
      <c r="F117" s="6" t="n">
        <f aca="false">F42</f>
        <v>63750</v>
      </c>
      <c r="G117" s="6" t="n">
        <f aca="false">G42</f>
        <v>170000</v>
      </c>
      <c r="H117" s="6" t="n">
        <f aca="false">H42</f>
        <v>255000</v>
      </c>
      <c r="I117" s="6" t="n">
        <f aca="false">I42</f>
        <v>361250</v>
      </c>
      <c r="J117" s="6" t="n">
        <f aca="false">J42</f>
        <v>425000</v>
      </c>
      <c r="K117" s="6" t="n">
        <f aca="false">K42</f>
        <v>340000</v>
      </c>
      <c r="L117" s="6" t="n">
        <f aca="false">L42</f>
        <v>106250</v>
      </c>
      <c r="M117" s="6" t="n">
        <f aca="false">M42</f>
        <v>42500</v>
      </c>
      <c r="N117" s="6" t="n">
        <f aca="false">N42</f>
        <v>0</v>
      </c>
      <c r="O117" s="6" t="n">
        <f aca="false">O42</f>
        <v>0</v>
      </c>
      <c r="P117" s="6" t="n">
        <f aca="false">P42</f>
        <v>0</v>
      </c>
      <c r="Q117" s="6" t="n">
        <f aca="false">Q42</f>
        <v>0</v>
      </c>
      <c r="R117" s="6" t="n">
        <f aca="false">R42</f>
        <v>0</v>
      </c>
      <c r="S117" s="6" t="n">
        <f aca="false">S42</f>
        <v>0</v>
      </c>
      <c r="T117" s="6" t="n">
        <f aca="false">T42</f>
        <v>0</v>
      </c>
      <c r="U117" s="6" t="n">
        <f aca="false">U42</f>
        <v>0</v>
      </c>
      <c r="V117" s="6" t="n">
        <f aca="false">V42</f>
        <v>0</v>
      </c>
    </row>
    <row r="118" customFormat="false" ht="15" hidden="false" customHeight="false" outlineLevel="0" collapsed="false">
      <c r="B118" s="10" t="s">
        <v>424</v>
      </c>
      <c r="C118" s="6" t="n">
        <f aca="false">C51</f>
        <v>0</v>
      </c>
      <c r="D118" s="6" t="n">
        <f aca="false">D51</f>
        <v>0</v>
      </c>
      <c r="E118" s="6" t="n">
        <f aca="false">E51</f>
        <v>0</v>
      </c>
      <c r="F118" s="6" t="n">
        <f aca="false">F51</f>
        <v>0</v>
      </c>
      <c r="G118" s="6" t="n">
        <f aca="false">G51</f>
        <v>0</v>
      </c>
      <c r="H118" s="6" t="n">
        <f aca="false">H51</f>
        <v>0</v>
      </c>
      <c r="I118" s="6" t="n">
        <f aca="false">I51</f>
        <v>0</v>
      </c>
      <c r="J118" s="6" t="n">
        <f aca="false">J51</f>
        <v>0</v>
      </c>
      <c r="K118" s="6" t="n">
        <f aca="false">K51</f>
        <v>85000</v>
      </c>
      <c r="L118" s="6" t="n">
        <f aca="false">L51</f>
        <v>318750</v>
      </c>
      <c r="M118" s="6" t="n">
        <f aca="false">M51</f>
        <v>382500</v>
      </c>
      <c r="N118" s="6" t="n">
        <f aca="false">N51</f>
        <v>425000</v>
      </c>
      <c r="O118" s="6" t="n">
        <f aca="false">O51</f>
        <v>425000</v>
      </c>
      <c r="P118" s="6" t="n">
        <f aca="false">P51</f>
        <v>425000</v>
      </c>
      <c r="Q118" s="6" t="n">
        <f aca="false">Q51</f>
        <v>425000</v>
      </c>
      <c r="R118" s="6" t="n">
        <f aca="false">R51</f>
        <v>425000</v>
      </c>
      <c r="S118" s="6" t="n">
        <f aca="false">S51</f>
        <v>425000</v>
      </c>
      <c r="T118" s="6" t="n">
        <f aca="false">T51</f>
        <v>425000</v>
      </c>
      <c r="U118" s="6" t="n">
        <f aca="false">U51</f>
        <v>425000</v>
      </c>
      <c r="V118" s="6" t="n">
        <f aca="false">V51</f>
        <v>425000</v>
      </c>
    </row>
    <row r="119" customFormat="false" ht="15" hidden="false" customHeight="false" outlineLevel="0" collapsed="false">
      <c r="B119" s="10" t="s">
        <v>425</v>
      </c>
      <c r="C119" s="6" t="n">
        <f aca="false">C94</f>
        <v>0</v>
      </c>
      <c r="D119" s="6" t="n">
        <f aca="false">D94</f>
        <v>0</v>
      </c>
      <c r="E119" s="6" t="n">
        <f aca="false">E94</f>
        <v>0</v>
      </c>
      <c r="F119" s="6" t="n">
        <f aca="false">F94</f>
        <v>0</v>
      </c>
      <c r="G119" s="6" t="n">
        <f aca="false">G94</f>
        <v>6142.5</v>
      </c>
      <c r="H119" s="6" t="n">
        <f aca="false">H94</f>
        <v>20868.705</v>
      </c>
      <c r="I119" s="6" t="n">
        <f aca="false">I94</f>
        <v>46189.0455</v>
      </c>
      <c r="J119" s="6" t="n">
        <f aca="false">J94</f>
        <v>95539.7625</v>
      </c>
      <c r="K119" s="6" t="n">
        <f aca="false">K94</f>
        <v>166987.8665</v>
      </c>
      <c r="L119" s="6" t="n">
        <f aca="false">L94</f>
        <v>264969.9585</v>
      </c>
      <c r="M119" s="6" t="n">
        <f aca="false">M94</f>
        <v>396136.86775</v>
      </c>
      <c r="N119" s="6" t="n">
        <f aca="false">N94</f>
        <v>547494.442083333</v>
      </c>
      <c r="O119" s="6" t="n">
        <f aca="false">O94</f>
        <v>713519.269666667</v>
      </c>
      <c r="P119" s="6" t="n">
        <f aca="false">P94</f>
        <v>880338.765583333</v>
      </c>
      <c r="Q119" s="6" t="n">
        <f aca="false">Q94</f>
        <v>1034354.35241667</v>
      </c>
      <c r="R119" s="6" t="n">
        <f aca="false">R94</f>
        <v>1164630.32183333</v>
      </c>
      <c r="S119" s="6" t="n">
        <f aca="false">S94</f>
        <v>1264852.004</v>
      </c>
      <c r="T119" s="6" t="n">
        <f aca="false">T94</f>
        <v>1336232.768</v>
      </c>
      <c r="U119" s="6" t="n">
        <f aca="false">U94</f>
        <v>1376167.936</v>
      </c>
      <c r="V119" s="6" t="n">
        <f aca="false">V94</f>
        <v>1396167.552</v>
      </c>
    </row>
    <row r="120" customFormat="false" ht="15" hidden="false" customHeight="false" outlineLevel="0" collapsed="false">
      <c r="B120" s="10" t="s">
        <v>426</v>
      </c>
      <c r="C120" s="6" t="n">
        <f aca="false">C103</f>
        <v>0</v>
      </c>
      <c r="D120" s="6" t="n">
        <f aca="false">D103</f>
        <v>0</v>
      </c>
      <c r="E120" s="6" t="n">
        <f aca="false">E103</f>
        <v>0</v>
      </c>
      <c r="F120" s="6" t="n">
        <f aca="false">F103</f>
        <v>11520</v>
      </c>
      <c r="G120" s="6" t="n">
        <f aca="false">G103</f>
        <v>34176</v>
      </c>
      <c r="H120" s="6" t="n">
        <f aca="false">H103</f>
        <v>58752</v>
      </c>
      <c r="I120" s="6" t="n">
        <f aca="false">I103</f>
        <v>91776</v>
      </c>
      <c r="J120" s="6" t="n">
        <f aca="false">J103</f>
        <v>122880</v>
      </c>
      <c r="K120" s="6" t="n">
        <f aca="false">K103</f>
        <v>145920</v>
      </c>
      <c r="L120" s="6" t="n">
        <f aca="false">L103</f>
        <v>165504</v>
      </c>
      <c r="M120" s="6" t="n">
        <f aca="false">M103</f>
        <v>179328</v>
      </c>
      <c r="N120" s="6" t="n">
        <f aca="false">N103</f>
        <v>188544</v>
      </c>
      <c r="O120" s="6" t="n">
        <f aca="false">O103</f>
        <v>192000</v>
      </c>
      <c r="P120" s="6" t="n">
        <f aca="false">P103</f>
        <v>192000</v>
      </c>
      <c r="Q120" s="6" t="n">
        <f aca="false">Q103</f>
        <v>192000</v>
      </c>
      <c r="R120" s="6" t="n">
        <f aca="false">R103</f>
        <v>192000</v>
      </c>
      <c r="S120" s="6" t="n">
        <f aca="false">S103</f>
        <v>192000</v>
      </c>
      <c r="T120" s="6" t="n">
        <f aca="false">T103</f>
        <v>192000</v>
      </c>
      <c r="U120" s="6" t="n">
        <f aca="false">U103</f>
        <v>192000</v>
      </c>
      <c r="V120" s="6" t="n">
        <f aca="false">V103</f>
        <v>192000</v>
      </c>
    </row>
    <row r="121" customFormat="false" ht="15" hidden="false" customHeight="false" outlineLevel="0" collapsed="false">
      <c r="B121" s="10" t="s">
        <v>427</v>
      </c>
      <c r="C121" s="6" t="n">
        <f aca="false">C112</f>
        <v>0</v>
      </c>
      <c r="D121" s="6" t="n">
        <f aca="false">D112</f>
        <v>0</v>
      </c>
      <c r="E121" s="6" t="n">
        <f aca="false">E112</f>
        <v>0</v>
      </c>
      <c r="F121" s="6" t="n">
        <f aca="false">F112</f>
        <v>0</v>
      </c>
      <c r="G121" s="6" t="n">
        <f aca="false">G112</f>
        <v>0</v>
      </c>
      <c r="H121" s="6" t="n">
        <f aca="false">H112</f>
        <v>3240</v>
      </c>
      <c r="I121" s="6" t="n">
        <f aca="false">I112</f>
        <v>10260</v>
      </c>
      <c r="J121" s="6" t="n">
        <f aca="false">J112</f>
        <v>19980</v>
      </c>
      <c r="K121" s="6" t="n">
        <f aca="false">K112</f>
        <v>35820</v>
      </c>
      <c r="L121" s="6" t="n">
        <f aca="false">L112</f>
        <v>55980</v>
      </c>
      <c r="M121" s="6" t="n">
        <f aca="false">M112</f>
        <v>78930</v>
      </c>
      <c r="N121" s="6" t="n">
        <f aca="false">N112</f>
        <v>104850</v>
      </c>
      <c r="O121" s="6" t="n">
        <f aca="false">O112</f>
        <v>131040</v>
      </c>
      <c r="P121" s="6" t="n">
        <f aca="false">P112</f>
        <v>153090</v>
      </c>
      <c r="Q121" s="6" t="n">
        <f aca="false">Q112</f>
        <v>167850</v>
      </c>
      <c r="R121" s="6" t="n">
        <f aca="false">R112</f>
        <v>176760</v>
      </c>
      <c r="S121" s="6" t="n">
        <f aca="false">S112</f>
        <v>180000</v>
      </c>
      <c r="T121" s="6" t="n">
        <f aca="false">T112</f>
        <v>180000</v>
      </c>
      <c r="U121" s="6" t="n">
        <f aca="false">U112</f>
        <v>180000</v>
      </c>
      <c r="V121" s="6" t="n">
        <f aca="false">V112</f>
        <v>180000</v>
      </c>
    </row>
    <row r="123" customFormat="false" ht="15" hidden="false" customHeight="false" outlineLevel="0" collapsed="false">
      <c r="B123" s="1" t="s">
        <v>428</v>
      </c>
      <c r="C123" s="21" t="n">
        <f aca="false">C115+C118+C119+C120+C121</f>
        <v>0</v>
      </c>
      <c r="D123" s="21" t="n">
        <f aca="false">D115+D118+D119+D120+D121</f>
        <v>840000</v>
      </c>
      <c r="E123" s="21" t="n">
        <f aca="false">E115+E118+E119+E120+E121</f>
        <v>560000</v>
      </c>
      <c r="F123" s="21" t="n">
        <f aca="false">F115+F118+F119+F120+F121</f>
        <v>1446520</v>
      </c>
      <c r="G123" s="21" t="n">
        <f aca="false">G115+G118+G119+G120+G121</f>
        <v>950318.5</v>
      </c>
      <c r="H123" s="21" t="n">
        <f aca="false">H115+H118+H119+H120+H121</f>
        <v>975360.705</v>
      </c>
      <c r="I123" s="21" t="n">
        <f aca="false">I115+I118+I119+I120+I121</f>
        <v>515725.0455</v>
      </c>
      <c r="J123" s="21" t="n">
        <f aca="false">J115+J118+J119+J120+J121</f>
        <v>1008399.7625</v>
      </c>
      <c r="K123" s="21" t="n">
        <f aca="false">K115+K118+K119+K120+K121</f>
        <v>783727.8665</v>
      </c>
      <c r="L123" s="21" t="n">
        <f aca="false">L115+L118+L119+L120+L121</f>
        <v>1242703.9585</v>
      </c>
      <c r="M123" s="21" t="n">
        <f aca="false">M115+M118+M119+M120+M121</f>
        <v>1299394.86775</v>
      </c>
      <c r="N123" s="21" t="n">
        <f aca="false">N115+N118+N119+N120+N121</f>
        <v>1440888.44208333</v>
      </c>
      <c r="O123" s="21" t="n">
        <f aca="false">O115+O118+O119+O120+O121</f>
        <v>1461559.26966667</v>
      </c>
      <c r="P123" s="21" t="n">
        <f aca="false">P115+P118+P119+P120+P121</f>
        <v>1650428.76558333</v>
      </c>
      <c r="Q123" s="21" t="n">
        <f aca="false">Q115+Q118+Q119+Q120+Q121</f>
        <v>1819204.35241667</v>
      </c>
      <c r="R123" s="21" t="n">
        <f aca="false">R115+R118+R119+R120+R121</f>
        <v>1958390.32183333</v>
      </c>
      <c r="S123" s="21" t="n">
        <f aca="false">S115+S118+S119+S120+S121</f>
        <v>2061852.004</v>
      </c>
      <c r="T123" s="21" t="n">
        <f aca="false">T115+T118+T119+T120+T121</f>
        <v>2133232.768</v>
      </c>
      <c r="U123" s="21" t="n">
        <f aca="false">U115+U118+U119+U120+U121</f>
        <v>2173167.936</v>
      </c>
      <c r="V123" s="21" t="n">
        <f aca="false">V115+V118+V119+V120+V121</f>
        <v>2193167.552</v>
      </c>
    </row>
    <row r="124" customFormat="false" ht="15" hidden="false" customHeight="false" outlineLevel="0" collapsed="false">
      <c r="B124" s="1" t="s">
        <v>429</v>
      </c>
      <c r="C124" s="21" t="n">
        <f aca="false">C123+C116+C117</f>
        <v>0</v>
      </c>
      <c r="D124" s="21" t="n">
        <f aca="false">D123+D116+D117</f>
        <v>1095000</v>
      </c>
      <c r="E124" s="21" t="n">
        <f aca="false">E123+E116+E117</f>
        <v>755000</v>
      </c>
      <c r="F124" s="21" t="n">
        <f aca="false">F123+F116+F117</f>
        <v>1735270</v>
      </c>
      <c r="G124" s="21" t="n">
        <f aca="false">G123+G116+G117</f>
        <v>1285318.5</v>
      </c>
      <c r="H124" s="21" t="n">
        <f aca="false">H123+H116+H117</f>
        <v>1365360.705</v>
      </c>
      <c r="I124" s="21" t="n">
        <f aca="false">I123+I116+I117</f>
        <v>876975.0455</v>
      </c>
      <c r="J124" s="21" t="n">
        <f aca="false">J123+J116+J117</f>
        <v>1433399.7625</v>
      </c>
      <c r="K124" s="21" t="n">
        <f aca="false">K123+K116+K117</f>
        <v>1123727.8665</v>
      </c>
      <c r="L124" s="21" t="n">
        <f aca="false">L123+L116+L117</f>
        <v>1348953.9585</v>
      </c>
      <c r="M124" s="21" t="n">
        <f aca="false">M123+M116+M117</f>
        <v>1341894.86775</v>
      </c>
      <c r="N124" s="21" t="n">
        <f aca="false">N123+N116+N117</f>
        <v>1440888.44208333</v>
      </c>
      <c r="O124" s="21" t="n">
        <f aca="false">O123+O116+O117</f>
        <v>1461559.26966667</v>
      </c>
      <c r="P124" s="21" t="n">
        <f aca="false">P123+P116+P117</f>
        <v>1650428.76558333</v>
      </c>
      <c r="Q124" s="21" t="n">
        <f aca="false">Q123+Q116+Q117</f>
        <v>1819204.35241667</v>
      </c>
      <c r="R124" s="21" t="n">
        <f aca="false">R123+R116+R117</f>
        <v>1958390.32183333</v>
      </c>
      <c r="S124" s="21" t="n">
        <f aca="false">S123+S116+S117</f>
        <v>2061852.004</v>
      </c>
      <c r="T124" s="21" t="n">
        <f aca="false">T123+T116+T117</f>
        <v>2133232.768</v>
      </c>
      <c r="U124" s="21" t="n">
        <f aca="false">U123+U116+U117</f>
        <v>2173167.936</v>
      </c>
      <c r="V124" s="21" t="n">
        <f aca="false">V123+V116+V117</f>
        <v>2193167.552</v>
      </c>
    </row>
    <row r="126" customFormat="false" ht="15" hidden="false" customHeight="false" outlineLevel="0" collapsed="false">
      <c r="B126" s="1" t="s">
        <v>430</v>
      </c>
    </row>
    <row r="127" customFormat="false" ht="15" hidden="false" customHeight="false" outlineLevel="0" collapsed="false">
      <c r="C127" s="2" t="s">
        <v>431</v>
      </c>
      <c r="D127" s="2" t="s">
        <v>432</v>
      </c>
      <c r="E127" s="2" t="s">
        <v>433</v>
      </c>
      <c r="F127" s="2" t="s">
        <v>434</v>
      </c>
      <c r="G127" s="2" t="s">
        <v>435</v>
      </c>
    </row>
    <row r="128" customFormat="false" ht="15" hidden="false" customHeight="false" outlineLevel="0" collapsed="false">
      <c r="B128" s="10" t="s">
        <v>436</v>
      </c>
      <c r="C128" s="6" t="n">
        <f aca="false">'Anchor Revenue'!C24+'Anchor Revenue'!D24+'Anchor Revenue'!E24+'Anchor Revenue'!F24</f>
        <v>2835000</v>
      </c>
      <c r="D128" s="6" t="n">
        <f aca="false">'Anchor Revenue'!G24+'Anchor Revenue'!H24+'Anchor Revenue'!I24+'Anchor Revenue'!J24</f>
        <v>2940000</v>
      </c>
      <c r="E128" s="6" t="n">
        <f aca="false">'Anchor Revenue'!K24+'Anchor Revenue'!L24+'Anchor Revenue'!M24+'Anchor Revenue'!N24</f>
        <v>1225000</v>
      </c>
      <c r="F128" s="6" t="n">
        <f aca="false">'Anchor Revenue'!O24+'Anchor Revenue'!P24+'Anchor Revenue'!Q24+'Anchor Revenue'!R24</f>
        <v>0</v>
      </c>
      <c r="G128" s="6" t="n">
        <f aca="false">'Anchor Revenue'!S24+'Anchor Revenue'!T24+'Anchor Revenue'!U24+'Anchor Revenue'!V24</f>
        <v>0</v>
      </c>
    </row>
    <row r="129" customFormat="false" ht="15" hidden="false" customHeight="false" outlineLevel="0" collapsed="false">
      <c r="B129" s="10" t="s">
        <v>422</v>
      </c>
      <c r="C129" s="6" t="n">
        <f aca="false">'Anchor Revenue'!C33+'Anchor Revenue'!D33+'Anchor Revenue'!E33+'Anchor Revenue'!F33</f>
        <v>675000</v>
      </c>
      <c r="D129" s="6" t="n">
        <f aca="false">'Anchor Revenue'!G33+'Anchor Revenue'!H33+'Anchor Revenue'!I33+'Anchor Revenue'!J33</f>
        <v>300000</v>
      </c>
      <c r="E129" s="6" t="n">
        <f aca="false">'Anchor Revenue'!K33+'Anchor Revenue'!L33+'Anchor Revenue'!M33+'Anchor Revenue'!N33</f>
        <v>0</v>
      </c>
      <c r="F129" s="6" t="n">
        <f aca="false">'Anchor Revenue'!O33+'Anchor Revenue'!P33+'Anchor Revenue'!Q33+'Anchor Revenue'!R33</f>
        <v>0</v>
      </c>
      <c r="G129" s="6" t="n">
        <f aca="false">'Anchor Revenue'!S33+'Anchor Revenue'!T33+'Anchor Revenue'!U33+'Anchor Revenue'!V33</f>
        <v>0</v>
      </c>
    </row>
    <row r="130" customFormat="false" ht="15" hidden="false" customHeight="false" outlineLevel="0" collapsed="false">
      <c r="B130" s="10" t="s">
        <v>437</v>
      </c>
      <c r="C130" s="6" t="n">
        <f aca="false">'Anchor Revenue'!C42+'Anchor Revenue'!D42+'Anchor Revenue'!E42+'Anchor Revenue'!F42</f>
        <v>63750</v>
      </c>
      <c r="D130" s="6" t="n">
        <f aca="false">'Anchor Revenue'!G42+'Anchor Revenue'!H42+'Anchor Revenue'!I42+'Anchor Revenue'!J42</f>
        <v>1211250</v>
      </c>
      <c r="E130" s="6" t="n">
        <f aca="false">'Anchor Revenue'!K42+'Anchor Revenue'!L42+'Anchor Revenue'!M42+'Anchor Revenue'!N42</f>
        <v>488750</v>
      </c>
      <c r="F130" s="6" t="n">
        <f aca="false">'Anchor Revenue'!O42+'Anchor Revenue'!P42+'Anchor Revenue'!Q42+'Anchor Revenue'!R42</f>
        <v>0</v>
      </c>
      <c r="G130" s="6" t="n">
        <f aca="false">'Anchor Revenue'!S42+'Anchor Revenue'!T42+'Anchor Revenue'!U42+'Anchor Revenue'!V42</f>
        <v>0</v>
      </c>
    </row>
    <row r="131" customFormat="false" ht="15" hidden="false" customHeight="false" outlineLevel="0" collapsed="false">
      <c r="B131" s="10" t="s">
        <v>438</v>
      </c>
      <c r="C131" s="6" t="n">
        <f aca="false">'Anchor Revenue'!C51+'Anchor Revenue'!D51+'Anchor Revenue'!E51+'Anchor Revenue'!F51</f>
        <v>0</v>
      </c>
      <c r="D131" s="6" t="n">
        <f aca="false">'Anchor Revenue'!G51+'Anchor Revenue'!H51+'Anchor Revenue'!I51+'Anchor Revenue'!J51</f>
        <v>0</v>
      </c>
      <c r="E131" s="6" t="n">
        <f aca="false">'Anchor Revenue'!K51+'Anchor Revenue'!L51+'Anchor Revenue'!M51+'Anchor Revenue'!N51</f>
        <v>1211250</v>
      </c>
      <c r="F131" s="6" t="n">
        <f aca="false">'Anchor Revenue'!O51+'Anchor Revenue'!P51+'Anchor Revenue'!Q51+'Anchor Revenue'!R51</f>
        <v>1700000</v>
      </c>
      <c r="G131" s="6" t="n">
        <f aca="false">'Anchor Revenue'!S51+'Anchor Revenue'!T51+'Anchor Revenue'!U51+'Anchor Revenue'!V51</f>
        <v>1700000</v>
      </c>
    </row>
    <row r="132" customFormat="false" ht="15" hidden="false" customHeight="false" outlineLevel="0" collapsed="false">
      <c r="B132" s="10" t="s">
        <v>439</v>
      </c>
      <c r="C132" s="6" t="n">
        <f aca="false">'Anchor Revenue'!C94+'Anchor Revenue'!D94+'Anchor Revenue'!E94+'Anchor Revenue'!F94</f>
        <v>0</v>
      </c>
      <c r="D132" s="6" t="n">
        <f aca="false">'Anchor Revenue'!G94+'Anchor Revenue'!H94+'Anchor Revenue'!I94+'Anchor Revenue'!J94</f>
        <v>168740.013</v>
      </c>
      <c r="E132" s="6" t="n">
        <f aca="false">'Anchor Revenue'!K94+'Anchor Revenue'!L94+'Anchor Revenue'!M94+'Anchor Revenue'!N94</f>
        <v>1375589.13483333</v>
      </c>
      <c r="F132" s="6" t="n">
        <f aca="false">'Anchor Revenue'!O94+'Anchor Revenue'!P94+'Anchor Revenue'!Q94+'Anchor Revenue'!R94</f>
        <v>3792842.7095</v>
      </c>
      <c r="G132" s="6" t="n">
        <f aca="false">'Anchor Revenue'!S94+'Anchor Revenue'!T94+'Anchor Revenue'!U94+'Anchor Revenue'!V94</f>
        <v>5373420.26</v>
      </c>
    </row>
    <row r="133" customFormat="false" ht="15" hidden="false" customHeight="false" outlineLevel="0" collapsed="false">
      <c r="B133" s="10" t="s">
        <v>440</v>
      </c>
      <c r="C133" s="6" t="n">
        <f aca="false">'Anchor Revenue'!C103+'Anchor Revenue'!D103+'Anchor Revenue'!E103+'Anchor Revenue'!F103</f>
        <v>11520</v>
      </c>
      <c r="D133" s="6" t="n">
        <f aca="false">'Anchor Revenue'!G103+'Anchor Revenue'!H103+'Anchor Revenue'!I103+'Anchor Revenue'!J103</f>
        <v>307584</v>
      </c>
      <c r="E133" s="6" t="n">
        <f aca="false">'Anchor Revenue'!K103+'Anchor Revenue'!L103+'Anchor Revenue'!M103+'Anchor Revenue'!N103</f>
        <v>679296</v>
      </c>
      <c r="F133" s="6" t="n">
        <f aca="false">'Anchor Revenue'!O103+'Anchor Revenue'!P103+'Anchor Revenue'!Q103+'Anchor Revenue'!R103</f>
        <v>768000</v>
      </c>
      <c r="G133" s="6" t="n">
        <f aca="false">'Anchor Revenue'!S103+'Anchor Revenue'!T103+'Anchor Revenue'!U103+'Anchor Revenue'!V103</f>
        <v>768000</v>
      </c>
    </row>
    <row r="134" customFormat="false" ht="15" hidden="false" customHeight="false" outlineLevel="0" collapsed="false">
      <c r="B134" s="10" t="s">
        <v>441</v>
      </c>
      <c r="C134" s="6" t="n">
        <f aca="false">'Anchor Revenue'!C112+'Anchor Revenue'!D112+'Anchor Revenue'!E112+'Anchor Revenue'!F112</f>
        <v>0</v>
      </c>
      <c r="D134" s="6" t="n">
        <f aca="false">'Anchor Revenue'!G112+'Anchor Revenue'!H112+'Anchor Revenue'!I112+'Anchor Revenue'!J112</f>
        <v>33480</v>
      </c>
      <c r="E134" s="6" t="n">
        <f aca="false">'Anchor Revenue'!K112+'Anchor Revenue'!L112+'Anchor Revenue'!M112+'Anchor Revenue'!N112</f>
        <v>275580</v>
      </c>
      <c r="F134" s="6" t="n">
        <f aca="false">'Anchor Revenue'!O112+'Anchor Revenue'!P112+'Anchor Revenue'!Q112+'Anchor Revenue'!R112</f>
        <v>628740</v>
      </c>
      <c r="G134" s="6" t="n">
        <f aca="false">'Anchor Revenue'!S112+'Anchor Revenue'!T112+'Anchor Revenue'!U112+'Anchor Revenue'!V112</f>
        <v>720000</v>
      </c>
    </row>
    <row r="136" customFormat="false" ht="15" hidden="false" customHeight="false" outlineLevel="0" collapsed="false">
      <c r="B136" s="1" t="s">
        <v>442</v>
      </c>
      <c r="C136" s="21" t="n">
        <f aca="false">C128+C131+C132+C133+C134</f>
        <v>2846520</v>
      </c>
      <c r="D136" s="21" t="n">
        <f aca="false">D128+D131+D132+D133+D134</f>
        <v>3449804.013</v>
      </c>
      <c r="E136" s="21" t="n">
        <f aca="false">E128+E131+E132+E133+E134</f>
        <v>4766715.13483333</v>
      </c>
      <c r="F136" s="21" t="n">
        <f aca="false">F128+F131+F132+F133+F134</f>
        <v>6889582.7095</v>
      </c>
      <c r="G136" s="21" t="n">
        <f aca="false">G128+G131+G132+G133+G134</f>
        <v>8561420.26</v>
      </c>
    </row>
    <row r="137" customFormat="false" ht="15" hidden="false" customHeight="false" outlineLevel="0" collapsed="false">
      <c r="B137" s="1" t="s">
        <v>443</v>
      </c>
      <c r="C137" s="21" t="n">
        <f aca="false">C136+C129+C130</f>
        <v>3585270</v>
      </c>
      <c r="D137" s="21" t="n">
        <f aca="false">D136+D129+D130</f>
        <v>4961054.013</v>
      </c>
      <c r="E137" s="21" t="n">
        <f aca="false">E136+E129+E130</f>
        <v>5255465.13483333</v>
      </c>
      <c r="F137" s="21" t="n">
        <f aca="false">F136+F129+F130</f>
        <v>6889582.7095</v>
      </c>
      <c r="G137" s="21" t="n">
        <f aca="false">G136+G129+G130</f>
        <v>8561420.26</v>
      </c>
    </row>
    <row r="138" customFormat="false" ht="15" hidden="false" customHeight="false" outlineLevel="0" collapsed="false">
      <c r="B138" s="1" t="s">
        <v>444</v>
      </c>
      <c r="C138" s="21" t="n">
        <f aca="false">C136</f>
        <v>2846520</v>
      </c>
      <c r="D138" s="21" t="n">
        <f aca="false">C138+D136</f>
        <v>6296324.013</v>
      </c>
      <c r="E138" s="21" t="n">
        <f aca="false">D138+E136</f>
        <v>11063039.1478333</v>
      </c>
      <c r="F138" s="21" t="n">
        <f aca="false">E138+F136</f>
        <v>17952621.8573333</v>
      </c>
      <c r="G138" s="21" t="n">
        <f aca="false">F138+G136</f>
        <v>26514042.1173333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33"/>
    <pageSetUpPr fitToPage="false"/>
  </sheetPr>
  <dimension ref="B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22" min="3" style="0" width="14"/>
  </cols>
  <sheetData>
    <row r="1" customFormat="false" ht="17.35" hidden="false" customHeight="false" outlineLevel="0" collapsed="false">
      <c r="B1" s="20" t="s">
        <v>445</v>
      </c>
    </row>
    <row r="3" customFormat="false" ht="15" hidden="false" customHeight="false" outlineLevel="0" collapsed="false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</row>
    <row r="4" customFormat="false" ht="15" hidden="false" customHeight="false" outlineLevel="0" collapsed="false"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</row>
    <row r="6" customFormat="false" ht="15" hidden="false" customHeight="false" outlineLevel="0" collapsed="false">
      <c r="B6" s="1" t="s">
        <v>446</v>
      </c>
    </row>
    <row r="7" customFormat="false" ht="15" hidden="false" customHeight="false" outlineLevel="0" collapsed="false">
      <c r="B7" s="10" t="s">
        <v>383</v>
      </c>
      <c r="C7" s="8" t="n">
        <f aca="false">'Pipeline Assumptions'!C6</f>
        <v>0</v>
      </c>
      <c r="D7" s="8" t="n">
        <f aca="false">'Pipeline Assumptions'!D6</f>
        <v>0</v>
      </c>
      <c r="E7" s="8" t="n">
        <f aca="false">'Pipeline Assumptions'!E6</f>
        <v>0</v>
      </c>
      <c r="F7" s="8" t="n">
        <f aca="false">'Pipeline Assumptions'!F6</f>
        <v>0</v>
      </c>
      <c r="G7" s="8" t="n">
        <f aca="false">'Pipeline Assumptions'!G6</f>
        <v>0</v>
      </c>
      <c r="H7" s="8" t="n">
        <f aca="false">'Pipeline Assumptions'!H6</f>
        <v>0</v>
      </c>
      <c r="I7" s="8" t="n">
        <f aca="false">'Pipeline Assumptions'!I6</f>
        <v>0</v>
      </c>
      <c r="J7" s="8" t="n">
        <f aca="false">'Pipeline Assumptions'!J6</f>
        <v>0</v>
      </c>
      <c r="K7" s="8" t="n">
        <f aca="false">'Pipeline Assumptions'!K6</f>
        <v>1</v>
      </c>
      <c r="L7" s="8" t="n">
        <f aca="false">'Pipeline Assumptions'!L6</f>
        <v>2</v>
      </c>
      <c r="M7" s="8" t="n">
        <f aca="false">'Pipeline Assumptions'!M6</f>
        <v>2</v>
      </c>
      <c r="N7" s="8" t="n">
        <f aca="false">'Pipeline Assumptions'!N6</f>
        <v>3</v>
      </c>
      <c r="O7" s="8" t="n">
        <f aca="false">'Pipeline Assumptions'!O6</f>
        <v>4</v>
      </c>
      <c r="P7" s="8" t="n">
        <f aca="false">'Pipeline Assumptions'!P6</f>
        <v>3</v>
      </c>
      <c r="Q7" s="8" t="n">
        <f aca="false">'Pipeline Assumptions'!Q6</f>
        <v>4</v>
      </c>
      <c r="R7" s="8" t="n">
        <f aca="false">'Pipeline Assumptions'!R6</f>
        <v>4</v>
      </c>
      <c r="S7" s="8" t="n">
        <f aca="false">'Pipeline Assumptions'!S6</f>
        <v>5</v>
      </c>
      <c r="T7" s="8" t="n">
        <f aca="false">'Pipeline Assumptions'!T6</f>
        <v>4</v>
      </c>
      <c r="U7" s="8" t="n">
        <f aca="false">'Pipeline Assumptions'!U6</f>
        <v>6</v>
      </c>
      <c r="V7" s="8" t="n">
        <f aca="false">'Pipeline Assumptions'!V6</f>
        <v>5</v>
      </c>
    </row>
    <row r="8" customFormat="false" ht="15" hidden="false" customHeight="false" outlineLevel="0" collapsed="false">
      <c r="B8" s="10" t="s">
        <v>447</v>
      </c>
      <c r="C8" s="8" t="n">
        <f aca="false">C7*'Pipeline Assumptions'!$C$7</f>
        <v>0</v>
      </c>
      <c r="D8" s="8" t="n">
        <f aca="false">D7*'Pipeline Assumptions'!$C$7</f>
        <v>0</v>
      </c>
      <c r="E8" s="8" t="n">
        <f aca="false">E7*'Pipeline Assumptions'!$C$7</f>
        <v>0</v>
      </c>
      <c r="F8" s="8" t="n">
        <f aca="false">F7*'Pipeline Assumptions'!$C$7</f>
        <v>0</v>
      </c>
      <c r="G8" s="8" t="n">
        <f aca="false">G7*'Pipeline Assumptions'!$C$7</f>
        <v>0</v>
      </c>
      <c r="H8" s="8" t="n">
        <f aca="false">H7*'Pipeline Assumptions'!$C$7</f>
        <v>0</v>
      </c>
      <c r="I8" s="8" t="n">
        <f aca="false">I7*'Pipeline Assumptions'!$C$7</f>
        <v>0</v>
      </c>
      <c r="J8" s="8" t="n">
        <f aca="false">J7*'Pipeline Assumptions'!$C$7</f>
        <v>0</v>
      </c>
      <c r="K8" s="8" t="n">
        <f aca="false">K7*'Pipeline Assumptions'!$C$7</f>
        <v>3</v>
      </c>
      <c r="L8" s="8" t="n">
        <f aca="false">L7*'Pipeline Assumptions'!$C$7</f>
        <v>6</v>
      </c>
      <c r="M8" s="8" t="n">
        <f aca="false">M7*'Pipeline Assumptions'!$C$7</f>
        <v>6</v>
      </c>
      <c r="N8" s="8" t="n">
        <f aca="false">N7*'Pipeline Assumptions'!$C$7</f>
        <v>9</v>
      </c>
      <c r="O8" s="8" t="n">
        <f aca="false">O7*'Pipeline Assumptions'!$C$7</f>
        <v>12</v>
      </c>
      <c r="P8" s="8" t="n">
        <f aca="false">P7*'Pipeline Assumptions'!$C$7</f>
        <v>9</v>
      </c>
      <c r="Q8" s="8" t="n">
        <f aca="false">Q7*'Pipeline Assumptions'!$C$7</f>
        <v>12</v>
      </c>
      <c r="R8" s="8" t="n">
        <f aca="false">R7*'Pipeline Assumptions'!$C$7</f>
        <v>12</v>
      </c>
      <c r="S8" s="8" t="n">
        <f aca="false">S7*'Pipeline Assumptions'!$C$7</f>
        <v>15</v>
      </c>
      <c r="T8" s="8" t="n">
        <f aca="false">T7*'Pipeline Assumptions'!$C$7</f>
        <v>12</v>
      </c>
      <c r="U8" s="8" t="n">
        <f aca="false">U7*'Pipeline Assumptions'!$C$7</f>
        <v>18</v>
      </c>
      <c r="V8" s="8" t="n">
        <f aca="false">V7*'Pipeline Assumptions'!$C$7</f>
        <v>15</v>
      </c>
    </row>
    <row r="9" customFormat="false" ht="15" hidden="false" customHeight="false" outlineLevel="0" collapsed="false">
      <c r="B9" s="10" t="s">
        <v>448</v>
      </c>
      <c r="C9" s="8" t="n">
        <f aca="false">IF(COLUMN(C8)-COLUMN($C$8)&gt;=Assumptions!$C$48,INDEX($C$8:$V$8,1,COLUMN(C8)-COLUMN($C$8)+1-Assumptions!$C$48),0)</f>
        <v>0</v>
      </c>
      <c r="D9" s="8" t="n">
        <f aca="false">IF(COLUMN(D8)-COLUMN($C$8)&gt;=Assumptions!$C$48,INDEX($C$8:$V$8,1,COLUMN(D8)-COLUMN($C$8)+1-Assumptions!$C$48),0)</f>
        <v>0</v>
      </c>
      <c r="E9" s="8" t="n">
        <f aca="false">IF(COLUMN(E8)-COLUMN($C$8)&gt;=Assumptions!$C$48,INDEX($C$8:$V$8,1,COLUMN(E8)-COLUMN($C$8)+1-Assumptions!$C$48),0)</f>
        <v>0</v>
      </c>
      <c r="F9" s="8" t="n">
        <f aca="false">IF(COLUMN(F8)-COLUMN($C$8)&gt;=Assumptions!$C$48,INDEX($C$8:$V$8,1,COLUMN(F8)-COLUMN($C$8)+1-Assumptions!$C$48),0)</f>
        <v>0</v>
      </c>
      <c r="G9" s="8" t="n">
        <f aca="false">IF(COLUMN(G8)-COLUMN($C$8)&gt;=Assumptions!$C$48,INDEX($C$8:$V$8,1,COLUMN(G8)-COLUMN($C$8)+1-Assumptions!$C$48),0)</f>
        <v>0</v>
      </c>
      <c r="H9" s="8" t="n">
        <f aca="false">IF(COLUMN(H8)-COLUMN($C$8)&gt;=Assumptions!$C$48,INDEX($C$8:$V$8,1,COLUMN(H8)-COLUMN($C$8)+1-Assumptions!$C$48),0)</f>
        <v>0</v>
      </c>
      <c r="I9" s="8" t="n">
        <f aca="false">IF(COLUMN(I8)-COLUMN($C$8)&gt;=Assumptions!$C$48,INDEX($C$8:$V$8,1,COLUMN(I8)-COLUMN($C$8)+1-Assumptions!$C$48),0)</f>
        <v>0</v>
      </c>
      <c r="J9" s="8" t="n">
        <f aca="false">IF(COLUMN(J8)-COLUMN($C$8)&gt;=Assumptions!$C$48,INDEX($C$8:$V$8,1,COLUMN(J8)-COLUMN($C$8)+1-Assumptions!$C$48),0)</f>
        <v>0</v>
      </c>
      <c r="K9" s="8" t="n">
        <f aca="false">IF(COLUMN(K8)-COLUMN($C$8)&gt;=Assumptions!$C$48,INDEX($C$8:$V$8,1,COLUMN(K8)-COLUMN($C$8)+1-Assumptions!$C$48),0)</f>
        <v>0</v>
      </c>
      <c r="L9" s="8" t="n">
        <f aca="false">IF(COLUMN(L8)-COLUMN($C$8)&gt;=Assumptions!$C$48,INDEX($C$8:$V$8,1,COLUMN(L8)-COLUMN($C$8)+1-Assumptions!$C$48),0)</f>
        <v>0</v>
      </c>
      <c r="M9" s="8" t="n">
        <f aca="false">IF(COLUMN(M8)-COLUMN($C$8)&gt;=Assumptions!$C$48,INDEX($C$8:$V$8,1,COLUMN(M8)-COLUMN($C$8)+1-Assumptions!$C$48),0)</f>
        <v>0</v>
      </c>
      <c r="N9" s="8" t="n">
        <f aca="false">IF(COLUMN(N8)-COLUMN($C$8)&gt;=Assumptions!$C$48,INDEX($C$8:$V$8,1,COLUMN(N8)-COLUMN($C$8)+1-Assumptions!$C$48),0)</f>
        <v>3</v>
      </c>
      <c r="O9" s="8" t="n">
        <f aca="false">IF(COLUMN(O8)-COLUMN($C$8)&gt;=Assumptions!$C$48,INDEX($C$8:$V$8,1,COLUMN(O8)-COLUMN($C$8)+1-Assumptions!$C$48),0)</f>
        <v>6</v>
      </c>
      <c r="P9" s="8" t="n">
        <f aca="false">IF(COLUMN(P8)-COLUMN($C$8)&gt;=Assumptions!$C$48,INDEX($C$8:$V$8,1,COLUMN(P8)-COLUMN($C$8)+1-Assumptions!$C$48),0)</f>
        <v>6</v>
      </c>
      <c r="Q9" s="8" t="n">
        <f aca="false">IF(COLUMN(Q8)-COLUMN($C$8)&gt;=Assumptions!$C$48,INDEX($C$8:$V$8,1,COLUMN(Q8)-COLUMN($C$8)+1-Assumptions!$C$48),0)</f>
        <v>9</v>
      </c>
      <c r="R9" s="8" t="n">
        <f aca="false">IF(COLUMN(R8)-COLUMN($C$8)&gt;=Assumptions!$C$48,INDEX($C$8:$V$8,1,COLUMN(R8)-COLUMN($C$8)+1-Assumptions!$C$48),0)</f>
        <v>12</v>
      </c>
      <c r="S9" s="8" t="n">
        <f aca="false">IF(COLUMN(S8)-COLUMN($C$8)&gt;=Assumptions!$C$48,INDEX($C$8:$V$8,1,COLUMN(S8)-COLUMN($C$8)+1-Assumptions!$C$48),0)</f>
        <v>9</v>
      </c>
      <c r="T9" s="8" t="n">
        <f aca="false">IF(COLUMN(T8)-COLUMN($C$8)&gt;=Assumptions!$C$48,INDEX($C$8:$V$8,1,COLUMN(T8)-COLUMN($C$8)+1-Assumptions!$C$48),0)</f>
        <v>12</v>
      </c>
      <c r="U9" s="8" t="n">
        <f aca="false">IF(COLUMN(U8)-COLUMN($C$8)&gt;=Assumptions!$C$48,INDEX($C$8:$V$8,1,COLUMN(U8)-COLUMN($C$8)+1-Assumptions!$C$48),0)</f>
        <v>12</v>
      </c>
      <c r="V9" s="8" t="n">
        <f aca="false">IF(COLUMN(V8)-COLUMN($C$8)&gt;=Assumptions!$C$48,INDEX($C$8:$V$8,1,COLUMN(V8)-COLUMN($C$8)+1-Assumptions!$C$48),0)</f>
        <v>15</v>
      </c>
    </row>
    <row r="10" customFormat="false" ht="15" hidden="false" customHeight="false" outlineLevel="0" collapsed="false">
      <c r="B10" s="10" t="s">
        <v>449</v>
      </c>
      <c r="C10" s="8" t="n">
        <f aca="false">C8</f>
        <v>0</v>
      </c>
      <c r="D10" s="8" t="n">
        <f aca="false">C10+D8</f>
        <v>0</v>
      </c>
      <c r="E10" s="8" t="n">
        <f aca="false">D10+E8</f>
        <v>0</v>
      </c>
      <c r="F10" s="8" t="n">
        <f aca="false">E10+F8</f>
        <v>0</v>
      </c>
      <c r="G10" s="8" t="n">
        <f aca="false">F10+G8</f>
        <v>0</v>
      </c>
      <c r="H10" s="8" t="n">
        <f aca="false">G10+H8</f>
        <v>0</v>
      </c>
      <c r="I10" s="8" t="n">
        <f aca="false">H10+I8</f>
        <v>0</v>
      </c>
      <c r="J10" s="8" t="n">
        <f aca="false">I10+J8</f>
        <v>0</v>
      </c>
      <c r="K10" s="8" t="n">
        <f aca="false">J10+K8</f>
        <v>3</v>
      </c>
      <c r="L10" s="8" t="n">
        <f aca="false">K10+L8</f>
        <v>9</v>
      </c>
      <c r="M10" s="8" t="n">
        <f aca="false">L10+M8</f>
        <v>15</v>
      </c>
      <c r="N10" s="8" t="n">
        <f aca="false">M10+N8</f>
        <v>24</v>
      </c>
      <c r="O10" s="8" t="n">
        <f aca="false">N10+O8</f>
        <v>36</v>
      </c>
      <c r="P10" s="8" t="n">
        <f aca="false">O10+P8</f>
        <v>45</v>
      </c>
      <c r="Q10" s="8" t="n">
        <f aca="false">P10+Q8</f>
        <v>57</v>
      </c>
      <c r="R10" s="8" t="n">
        <f aca="false">Q10+R8</f>
        <v>69</v>
      </c>
      <c r="S10" s="8" t="n">
        <f aca="false">R10+S8</f>
        <v>84</v>
      </c>
      <c r="T10" s="8" t="n">
        <f aca="false">S10+T8</f>
        <v>96</v>
      </c>
      <c r="U10" s="8" t="n">
        <f aca="false">T10+U8</f>
        <v>114</v>
      </c>
      <c r="V10" s="8" t="n">
        <f aca="false">U10+V8</f>
        <v>129</v>
      </c>
    </row>
    <row r="11" customFormat="false" ht="15" hidden="false" customHeight="false" outlineLevel="0" collapsed="false">
      <c r="B11" s="10" t="s">
        <v>388</v>
      </c>
      <c r="C11" s="8" t="n">
        <f aca="false">C9</f>
        <v>0</v>
      </c>
      <c r="D11" s="8" t="n">
        <f aca="false">C11+D9</f>
        <v>0</v>
      </c>
      <c r="E11" s="8" t="n">
        <f aca="false">D11+E9</f>
        <v>0</v>
      </c>
      <c r="F11" s="8" t="n">
        <f aca="false">E11+F9</f>
        <v>0</v>
      </c>
      <c r="G11" s="8" t="n">
        <f aca="false">F11+G9</f>
        <v>0</v>
      </c>
      <c r="H11" s="8" t="n">
        <f aca="false">G11+H9</f>
        <v>0</v>
      </c>
      <c r="I11" s="8" t="n">
        <f aca="false">H11+I9</f>
        <v>0</v>
      </c>
      <c r="J11" s="8" t="n">
        <f aca="false">I11+J9</f>
        <v>0</v>
      </c>
      <c r="K11" s="8" t="n">
        <f aca="false">J11+K9</f>
        <v>0</v>
      </c>
      <c r="L11" s="8" t="n">
        <f aca="false">K11+L9</f>
        <v>0</v>
      </c>
      <c r="M11" s="8" t="n">
        <f aca="false">L11+M9</f>
        <v>0</v>
      </c>
      <c r="N11" s="8" t="n">
        <f aca="false">M11+N9</f>
        <v>3</v>
      </c>
      <c r="O11" s="8" t="n">
        <f aca="false">N11+O9</f>
        <v>9</v>
      </c>
      <c r="P11" s="8" t="n">
        <f aca="false">O11+P9</f>
        <v>15</v>
      </c>
      <c r="Q11" s="8" t="n">
        <f aca="false">P11+Q9</f>
        <v>24</v>
      </c>
      <c r="R11" s="8" t="n">
        <f aca="false">Q11+R9</f>
        <v>36</v>
      </c>
      <c r="S11" s="8" t="n">
        <f aca="false">R11+S9</f>
        <v>45</v>
      </c>
      <c r="T11" s="8" t="n">
        <f aca="false">S11+T9</f>
        <v>57</v>
      </c>
      <c r="U11" s="8" t="n">
        <f aca="false">T11+U9</f>
        <v>69</v>
      </c>
      <c r="V11" s="8" t="n">
        <f aca="false">U11+V9</f>
        <v>84</v>
      </c>
    </row>
    <row r="13" customFormat="false" ht="15" hidden="false" customHeight="false" outlineLevel="0" collapsed="false">
      <c r="B13" s="1" t="s">
        <v>450</v>
      </c>
    </row>
    <row r="14" customFormat="false" ht="15" hidden="false" customHeight="false" outlineLevel="0" collapsed="false">
      <c r="B14" s="10" t="s">
        <v>451</v>
      </c>
      <c r="C14" s="6" t="n">
        <f aca="false">C7*Assumptions!$C$45+C8*Assumptions!$C$44</f>
        <v>0</v>
      </c>
      <c r="D14" s="6" t="n">
        <f aca="false">D7*Assumptions!$C$45+D8*Assumptions!$C$44</f>
        <v>0</v>
      </c>
      <c r="E14" s="6" t="n">
        <f aca="false">E7*Assumptions!$C$45+E8*Assumptions!$C$44</f>
        <v>0</v>
      </c>
      <c r="F14" s="6" t="n">
        <f aca="false">F7*Assumptions!$C$45+F8*Assumptions!$C$44</f>
        <v>0</v>
      </c>
      <c r="G14" s="6" t="n">
        <f aca="false">G7*Assumptions!$C$45+G8*Assumptions!$C$44</f>
        <v>0</v>
      </c>
      <c r="H14" s="6" t="n">
        <f aca="false">H7*Assumptions!$C$45+H8*Assumptions!$C$44</f>
        <v>0</v>
      </c>
      <c r="I14" s="6" t="n">
        <f aca="false">I7*Assumptions!$C$45+I8*Assumptions!$C$44</f>
        <v>0</v>
      </c>
      <c r="J14" s="6" t="n">
        <f aca="false">J7*Assumptions!$C$45+J8*Assumptions!$C$44</f>
        <v>0</v>
      </c>
      <c r="K14" s="6" t="n">
        <f aca="false">K7*Assumptions!$C$45+K8*Assumptions!$C$44</f>
        <v>165000</v>
      </c>
      <c r="L14" s="6" t="n">
        <f aca="false">L7*Assumptions!$C$45+L8*Assumptions!$C$44</f>
        <v>330000</v>
      </c>
      <c r="M14" s="6" t="n">
        <f aca="false">M7*Assumptions!$C$45+M8*Assumptions!$C$44</f>
        <v>330000</v>
      </c>
      <c r="N14" s="6" t="n">
        <f aca="false">N7*Assumptions!$C$45+N8*Assumptions!$C$44</f>
        <v>495000</v>
      </c>
      <c r="O14" s="6" t="n">
        <f aca="false">O7*Assumptions!$C$45+O8*Assumptions!$C$44</f>
        <v>660000</v>
      </c>
      <c r="P14" s="6" t="n">
        <f aca="false">P7*Assumptions!$C$45+P8*Assumptions!$C$44</f>
        <v>495000</v>
      </c>
      <c r="Q14" s="6" t="n">
        <f aca="false">Q7*Assumptions!$C$45+Q8*Assumptions!$C$44</f>
        <v>660000</v>
      </c>
      <c r="R14" s="6" t="n">
        <f aca="false">R7*Assumptions!$C$45+R8*Assumptions!$C$44</f>
        <v>660000</v>
      </c>
      <c r="S14" s="6" t="n">
        <f aca="false">S7*Assumptions!$C$45+S8*Assumptions!$C$44</f>
        <v>825000</v>
      </c>
      <c r="T14" s="6" t="n">
        <f aca="false">T7*Assumptions!$C$45+T8*Assumptions!$C$44</f>
        <v>660000</v>
      </c>
      <c r="U14" s="6" t="n">
        <f aca="false">U7*Assumptions!$C$45+U8*Assumptions!$C$44</f>
        <v>990000</v>
      </c>
      <c r="V14" s="6" t="n">
        <f aca="false">V7*Assumptions!$C$45+V8*Assumptions!$C$44</f>
        <v>825000</v>
      </c>
    </row>
    <row r="16" customFormat="false" ht="15" hidden="false" customHeight="false" outlineLevel="0" collapsed="false">
      <c r="B16" s="1" t="s">
        <v>452</v>
      </c>
    </row>
    <row r="17" customFormat="false" ht="15" hidden="false" customHeight="false" outlineLevel="0" collapsed="false">
      <c r="B17" s="10" t="s">
        <v>453</v>
      </c>
      <c r="C17" s="6" t="n">
        <f aca="false">C10*Assumptions!$C$46/4</f>
        <v>0</v>
      </c>
      <c r="D17" s="6" t="n">
        <f aca="false">D10*Assumptions!$C$46/4</f>
        <v>0</v>
      </c>
      <c r="E17" s="6" t="n">
        <f aca="false">E10*Assumptions!$C$46/4</f>
        <v>0</v>
      </c>
      <c r="F17" s="6" t="n">
        <f aca="false">F10*Assumptions!$C$46/4</f>
        <v>0</v>
      </c>
      <c r="G17" s="6" t="n">
        <f aca="false">G10*Assumptions!$C$46/4</f>
        <v>0</v>
      </c>
      <c r="H17" s="6" t="n">
        <f aca="false">H10*Assumptions!$C$46/4</f>
        <v>0</v>
      </c>
      <c r="I17" s="6" t="n">
        <f aca="false">I10*Assumptions!$C$46/4</f>
        <v>0</v>
      </c>
      <c r="J17" s="6" t="n">
        <f aca="false">J10*Assumptions!$C$46/4</f>
        <v>0</v>
      </c>
      <c r="K17" s="6" t="n">
        <f aca="false">K10*Assumptions!$C$46/4</f>
        <v>71250</v>
      </c>
      <c r="L17" s="6" t="n">
        <f aca="false">L10*Assumptions!$C$46/4</f>
        <v>213750</v>
      </c>
      <c r="M17" s="6" t="n">
        <f aca="false">M10*Assumptions!$C$46/4</f>
        <v>356250</v>
      </c>
      <c r="N17" s="6" t="n">
        <f aca="false">N10*Assumptions!$C$46/4</f>
        <v>570000</v>
      </c>
      <c r="O17" s="6" t="n">
        <f aca="false">O10*Assumptions!$C$46/4</f>
        <v>855000</v>
      </c>
      <c r="P17" s="6" t="n">
        <f aca="false">P10*Assumptions!$C$46/4</f>
        <v>1068750</v>
      </c>
      <c r="Q17" s="6" t="n">
        <f aca="false">Q10*Assumptions!$C$46/4</f>
        <v>1353750</v>
      </c>
      <c r="R17" s="6" t="n">
        <f aca="false">R10*Assumptions!$C$46/4</f>
        <v>1638750</v>
      </c>
      <c r="S17" s="6" t="n">
        <f aca="false">S10*Assumptions!$C$46/4</f>
        <v>1995000</v>
      </c>
      <c r="T17" s="6" t="n">
        <f aca="false">T10*Assumptions!$C$46/4</f>
        <v>2280000</v>
      </c>
      <c r="U17" s="6" t="n">
        <f aca="false">U10*Assumptions!$C$46/4</f>
        <v>2707500</v>
      </c>
      <c r="V17" s="6" t="n">
        <f aca="false">V10*Assumptions!$C$46/4</f>
        <v>3063750</v>
      </c>
    </row>
    <row r="19" customFormat="false" ht="15" hidden="false" customHeight="false" outlineLevel="0" collapsed="false">
      <c r="B19" s="1" t="s">
        <v>454</v>
      </c>
    </row>
    <row r="20" customFormat="false" ht="15" hidden="false" customHeight="false" outlineLevel="0" collapsed="false">
      <c r="B20" s="13" t="s">
        <v>455</v>
      </c>
      <c r="C20" s="23" t="n">
        <f aca="false">(Assumptions!$F$67*13*Assumptions!$E$67*Assumptions!$C$60+Assumptions!$F$68*13*Assumptions!$E$68*Assumptions!$C$61+Assumptions!$F$69*13*Assumptions!$E$69*Assumptions!$C$60+Assumptions!$F$70*13*Assumptions!$E$70*Assumptions!$C$60+Assumptions!$F$71*13*Assumptions!$E$71*Assumptions!$C$60)*Assumptions!$C$96</f>
        <v>74561.0666666667</v>
      </c>
    </row>
    <row r="21" customFormat="false" ht="15" hidden="false" customHeight="false" outlineLevel="0" collapsed="false">
      <c r="B21" s="13" t="s">
        <v>456</v>
      </c>
      <c r="C21" s="23" t="n">
        <f aca="false">Assumptions!$C$100*Assumptions!$C$62*3</f>
        <v>9600</v>
      </c>
    </row>
    <row r="22" customFormat="false" ht="15" hidden="false" customHeight="false" outlineLevel="0" collapsed="false">
      <c r="B22" s="13" t="s">
        <v>457</v>
      </c>
      <c r="C22" s="23" t="n">
        <f aca="false">Assumptions!$C$105*3*Assumptions!$C$63</f>
        <v>9000</v>
      </c>
    </row>
    <row r="24" customFormat="false" ht="15" hidden="false" customHeight="false" outlineLevel="0" collapsed="false">
      <c r="B24" s="10" t="s">
        <v>425</v>
      </c>
      <c r="C24" s="6" t="n">
        <v>0</v>
      </c>
      <c r="D24" s="6" t="n">
        <f aca="false">C9*INDEX(Assumptions!$C$77:$C$84,1)*$C$20</f>
        <v>0</v>
      </c>
      <c r="E24" s="6" t="n">
        <f aca="false">C9*INDEX(Assumptions!$C$77:$C$84,2)*$C$20+D9*INDEX(Assumptions!$C$77:$C$84,1)*$C$20</f>
        <v>0</v>
      </c>
      <c r="F24" s="6" t="n">
        <f aca="false">C9*INDEX(Assumptions!$C$77:$C$84,3)*$C$20+D9*INDEX(Assumptions!$C$77:$C$84,2)*$C$20+E9*INDEX(Assumptions!$C$77:$C$84,1)*$C$20</f>
        <v>0</v>
      </c>
      <c r="G24" s="6" t="n">
        <f aca="false">C9*INDEX(Assumptions!$C$77:$C$84,4)*$C$20+D9*INDEX(Assumptions!$C$77:$C$84,3)*$C$20+E9*INDEX(Assumptions!$C$77:$C$84,2)*$C$20+F9*INDEX(Assumptions!$C$77:$C$84,1)*$C$20</f>
        <v>0</v>
      </c>
      <c r="H24" s="6" t="n">
        <f aca="false">C9*INDEX(Assumptions!$C$77:$C$84,5)*$C$20+D9*INDEX(Assumptions!$C$77:$C$84,4)*$C$20+E9*INDEX(Assumptions!$C$77:$C$84,3)*$C$20+F9*INDEX(Assumptions!$C$77:$C$84,2)*$C$20+G9*INDEX(Assumptions!$C$77:$C$84,1)*$C$20</f>
        <v>0</v>
      </c>
      <c r="I24" s="6" t="n">
        <f aca="false">C9*INDEX(Assumptions!$C$77:$C$84,6)*$C$20+D9*INDEX(Assumptions!$C$77:$C$84,5)*$C$20+E9*INDEX(Assumptions!$C$77:$C$84,4)*$C$20+F9*INDEX(Assumptions!$C$77:$C$84,3)*$C$20+G9*INDEX(Assumptions!$C$77:$C$84,2)*$C$20+H9*INDEX(Assumptions!$C$77:$C$84,1)*$C$20</f>
        <v>0</v>
      </c>
      <c r="J24" s="6" t="n">
        <f aca="false">C9*INDEX(Assumptions!$C$77:$C$84,7)*$C$20+D9*INDEX(Assumptions!$C$77:$C$84,6)*$C$20+E9*INDEX(Assumptions!$C$77:$C$84,5)*$C$20+F9*INDEX(Assumptions!$C$77:$C$84,4)*$C$20+G9*INDEX(Assumptions!$C$77:$C$84,3)*$C$20+H9*INDEX(Assumptions!$C$77:$C$84,2)*$C$20+I9*INDEX(Assumptions!$C$77:$C$84,1)*$C$20</f>
        <v>0</v>
      </c>
      <c r="K24" s="6" t="n">
        <f aca="false">C9*1*$C$20+D9*INDEX(Assumptions!$C$77:$C$84,7)*$C$20+E9*INDEX(Assumptions!$C$77:$C$84,6)*$C$20+F9*INDEX(Assumptions!$C$77:$C$84,5)*$C$20+G9*INDEX(Assumptions!$C$77:$C$84,4)*$C$20+H9*INDEX(Assumptions!$C$77:$C$84,3)*$C$20+I9*INDEX(Assumptions!$C$77:$C$84,2)*$C$20+J9*INDEX(Assumptions!$C$77:$C$84,1)*$C$20</f>
        <v>0</v>
      </c>
      <c r="L24" s="6" t="n">
        <f aca="false">C9*1*$C$20+D9*1*$C$20+E9*INDEX(Assumptions!$C$77:$C$84,7)*$C$20+F9*INDEX(Assumptions!$C$77:$C$84,6)*$C$20+G9*INDEX(Assumptions!$C$77:$C$84,5)*$C$20+H9*INDEX(Assumptions!$C$77:$C$84,4)*$C$20+I9*INDEX(Assumptions!$C$77:$C$84,3)*$C$20+J9*INDEX(Assumptions!$C$77:$C$84,2)*$C$20+K9*INDEX(Assumptions!$C$77:$C$84,1)*$C$20</f>
        <v>0</v>
      </c>
      <c r="M24" s="6" t="n">
        <f aca="false">C9*1*$C$20+D9*1*$C$20+E9*1*$C$20+F9*INDEX(Assumptions!$C$77:$C$84,7)*$C$20+G9*INDEX(Assumptions!$C$77:$C$84,6)*$C$20+H9*INDEX(Assumptions!$C$77:$C$84,5)*$C$20+I9*INDEX(Assumptions!$C$77:$C$84,4)*$C$20+J9*INDEX(Assumptions!$C$77:$C$84,3)*$C$20+K9*INDEX(Assumptions!$C$77:$C$84,2)*$C$20+L9*INDEX(Assumptions!$C$77:$C$84,1)*$C$20</f>
        <v>0</v>
      </c>
      <c r="N24" s="6" t="n">
        <f aca="false">C9*1*$C$20+D9*1*$C$20+E9*1*$C$20+F9*1*$C$20+G9*INDEX(Assumptions!$C$77:$C$84,7)*$C$20+H9*INDEX(Assumptions!$C$77:$C$84,6)*$C$20+I9*INDEX(Assumptions!$C$77:$C$84,5)*$C$20+J9*INDEX(Assumptions!$C$77:$C$84,4)*$C$20+K9*INDEX(Assumptions!$C$77:$C$84,3)*$C$20+L9*INDEX(Assumptions!$C$77:$C$84,2)*$C$20+M9*INDEX(Assumptions!$C$77:$C$84,1)*$C$20</f>
        <v>0</v>
      </c>
      <c r="O24" s="6" t="n">
        <f aca="false">C9*1*$C$20+D9*1*$C$20+E9*1*$C$20+F9*1*$C$20+G9*1*$C$20+H9*INDEX(Assumptions!$C$77:$C$84,7)*$C$20+I9*INDEX(Assumptions!$C$77:$C$84,6)*$C$20+J9*INDEX(Assumptions!$C$77:$C$84,5)*$C$20+K9*INDEX(Assumptions!$C$77:$C$84,4)*$C$20+L9*INDEX(Assumptions!$C$77:$C$84,3)*$C$20+M9*INDEX(Assumptions!$C$77:$C$84,2)*$C$20+N9*INDEX(Assumptions!$C$77:$C$84,1)*$C$20</f>
        <v>26841.984</v>
      </c>
      <c r="P24" s="6" t="n">
        <f aca="false">C9*1*$C$20+D9*1*$C$20+E9*1*$C$20+F9*1*$C$20+G9*1*$C$20+H9*1*$C$20+I9*INDEX(Assumptions!$C$77:$C$84,7)*$C$20+J9*INDEX(Assumptions!$C$77:$C$84,6)*$C$20+K9*INDEX(Assumptions!$C$77:$C$84,5)*$C$20+L9*INDEX(Assumptions!$C$77:$C$84,4)*$C$20+M9*INDEX(Assumptions!$C$77:$C$84,3)*$C$20+N9*INDEX(Assumptions!$C$77:$C$84,2)*$C$20+O9*INDEX(Assumptions!$C$77:$C$84,1)*$C$20</f>
        <v>93946.944</v>
      </c>
      <c r="Q24" s="6" t="n">
        <f aca="false">C9*1*$C$20+D9*1*$C$20+E9*1*$C$20+F9*1*$C$20+G9*1*$C$20+H9*1*$C$20+I9*1*$C$20+J9*INDEX(Assumptions!$C$77:$C$84,7)*$C$20+K9*INDEX(Assumptions!$C$77:$C$84,6)*$C$20+L9*INDEX(Assumptions!$C$77:$C$84,5)*$C$20+M9*INDEX(Assumptions!$C$77:$C$84,4)*$C$20+N9*INDEX(Assumptions!$C$77:$C$84,3)*$C$20+O9*INDEX(Assumptions!$C$77:$C$84,2)*$C$20+P9*INDEX(Assumptions!$C$77:$C$84,1)*$C$20</f>
        <v>196841.216</v>
      </c>
      <c r="R24" s="6" t="n">
        <f aca="false">C9*1*$C$20+D9*1*$C$20+E9*1*$C$20+F9*1*$C$20+G9*1*$C$20+H9*1*$C$20+I9*1*$C$20+J9*1*$C$20+K9*INDEX(Assumptions!$C$77:$C$84,7)*$C$20+L9*INDEX(Assumptions!$C$77:$C$84,6)*$C$20+M9*INDEX(Assumptions!$C$77:$C$84,5)*$C$20+N9*INDEX(Assumptions!$C$77:$C$84,4)*$C$20+O9*INDEX(Assumptions!$C$77:$C$84,3)*$C$20+P9*INDEX(Assumptions!$C$77:$C$84,2)*$C$20+Q9*INDEX(Assumptions!$C$77:$C$84,1)*$C$20</f>
        <v>380261.44</v>
      </c>
      <c r="S24" s="6" t="n">
        <f aca="false">C9*1*$C$20+D9*1*$C$20+E9*1*$C$20+F9*1*$C$20+G9*1*$C$20+H9*1*$C$20+I9*1*$C$20+J9*1*$C$20+K9*1*$C$20+L9*INDEX(Assumptions!$C$77:$C$84,7)*$C$20+M9*INDEX(Assumptions!$C$77:$C$84,6)*$C$20+N9*INDEX(Assumptions!$C$77:$C$84,5)*$C$20+O9*INDEX(Assumptions!$C$77:$C$84,4)*$C$20+P9*INDEX(Assumptions!$C$77:$C$84,3)*$C$20+Q9*INDEX(Assumptions!$C$77:$C$84,2)*$C$20+R9*INDEX(Assumptions!$C$77:$C$84,1)*$C$20</f>
        <v>671049.6</v>
      </c>
      <c r="T24" s="6" t="n">
        <f aca="false">C9*1*$C$20+D9*1*$C$20+E9*1*$C$20+F9*1*$C$20+G9*1*$C$20+H9*1*$C$20+I9*1*$C$20+J9*1*$C$20+K9*1*$C$20+L9*1*$C$20+M9*INDEX(Assumptions!$C$77:$C$84,7)*$C$20+N9*INDEX(Assumptions!$C$77:$C$84,6)*$C$20+O9*INDEX(Assumptions!$C$77:$C$84,5)*$C$20+P9*INDEX(Assumptions!$C$77:$C$84,4)*$C$20+Q9*INDEX(Assumptions!$C$77:$C$84,3)*$C$20+R9*INDEX(Assumptions!$C$77:$C$84,2)*$C$20+S9*INDEX(Assumptions!$C$77:$C$84,1)*$C$20</f>
        <v>1044600.544</v>
      </c>
      <c r="U24" s="6" t="n">
        <f aca="false">C9*1*$C$20+D9*1*$C$20+E9*1*$C$20+F9*1*$C$20+G9*1*$C$20+H9*1*$C$20+I9*1*$C$20+J9*1*$C$20+K9*1*$C$20+L9*1*$C$20+M9*1*$C$20+N9*INDEX(Assumptions!$C$77:$C$84,7)*$C$20+O9*INDEX(Assumptions!$C$77:$C$84,6)*$C$20+P9*INDEX(Assumptions!$C$77:$C$84,5)*$C$20+Q9*INDEX(Assumptions!$C$77:$C$84,4)*$C$20+R9*INDEX(Assumptions!$C$77:$C$84,3)*$C$20+S9*INDEX(Assumptions!$C$77:$C$84,2)*$C$20+T9*INDEX(Assumptions!$C$77:$C$84,1)*$C$20</f>
        <v>1552361.408</v>
      </c>
      <c r="V24" s="6" t="n">
        <f aca="false">C9*1*$C$20+D9*1*$C$20+E9*1*$C$20+F9*1*$C$20+G9*1*$C$20+H9*1*$C$20+I9*1*$C$20+J9*1*$C$20+K9*1*$C$20+L9*1*$C$20+M9*1*$C$20+N9*1*$C$20+O9*INDEX(Assumptions!$C$77:$C$84,7)*$C$20+P9*INDEX(Assumptions!$C$77:$C$84,6)*$C$20+Q9*INDEX(Assumptions!$C$77:$C$84,5)*$C$20+R9*INDEX(Assumptions!$C$77:$C$84,4)*$C$20+S9*INDEX(Assumptions!$C$77:$C$84,3)*$C$20+T9*INDEX(Assumptions!$C$77:$C$84,2)*$C$20+U9*INDEX(Assumptions!$C$77:$C$84,1)*$C$20</f>
        <v>2174200.704</v>
      </c>
    </row>
    <row r="25" customFormat="false" ht="15" hidden="false" customHeight="false" outlineLevel="0" collapsed="false">
      <c r="B25" s="10" t="s">
        <v>458</v>
      </c>
      <c r="C25" s="6" t="n">
        <f aca="false">C9*MIN(1,Assumptions!$C$101+(0/Assumptions!$C$102)*(1-Assumptions!$C$101))*$C$21</f>
        <v>0</v>
      </c>
      <c r="D25" s="6" t="n">
        <f aca="false">C9*MIN(1,Assumptions!$C$101+(1/Assumptions!$C$102)*(1-Assumptions!$C$101))*$C$21+D9*MIN(1,Assumptions!$C$101+(0/Assumptions!$C$102)*(1-Assumptions!$C$101))*$C$21</f>
        <v>0</v>
      </c>
      <c r="E25" s="6" t="n">
        <f aca="false">C9*MIN(1,Assumptions!$C$101+(2/Assumptions!$C$102)*(1-Assumptions!$C$101))*$C$21+D9*MIN(1,Assumptions!$C$101+(1/Assumptions!$C$102)*(1-Assumptions!$C$101))*$C$21+E9*MIN(1,Assumptions!$C$101+(0/Assumptions!$C$102)*(1-Assumptions!$C$101))*$C$21</f>
        <v>0</v>
      </c>
      <c r="F25" s="6" t="n">
        <f aca="false">C9*MIN(1,Assumptions!$C$101+(3/Assumptions!$C$102)*(1-Assumptions!$C$101))*$C$21+D9*MIN(1,Assumptions!$C$101+(2/Assumptions!$C$102)*(1-Assumptions!$C$101))*$C$21+E9*MIN(1,Assumptions!$C$101+(1/Assumptions!$C$102)*(1-Assumptions!$C$101))*$C$21+F9*MIN(1,Assumptions!$C$101+(0/Assumptions!$C$102)*(1-Assumptions!$C$101))*$C$21</f>
        <v>0</v>
      </c>
      <c r="G25" s="6" t="n">
        <f aca="false">C9*MIN(1,Assumptions!$C$101+(4/Assumptions!$C$102)*(1-Assumptions!$C$101))*$C$21+D9*MIN(1,Assumptions!$C$101+(3/Assumptions!$C$102)*(1-Assumptions!$C$101))*$C$21+E9*MIN(1,Assumptions!$C$101+(2/Assumptions!$C$102)*(1-Assumptions!$C$101))*$C$21+F9*MIN(1,Assumptions!$C$101+(1/Assumptions!$C$102)*(1-Assumptions!$C$101))*$C$21+G9*MIN(1,Assumptions!$C$101+(0/Assumptions!$C$102)*(1-Assumptions!$C$101))*$C$21</f>
        <v>0</v>
      </c>
      <c r="H25" s="6" t="n">
        <f aca="false">C9*MIN(1,Assumptions!$C$101+(5/Assumptions!$C$102)*(1-Assumptions!$C$101))*$C$21+D9*MIN(1,Assumptions!$C$101+(4/Assumptions!$C$102)*(1-Assumptions!$C$101))*$C$21+E9*MIN(1,Assumptions!$C$101+(3/Assumptions!$C$102)*(1-Assumptions!$C$101))*$C$21+F9*MIN(1,Assumptions!$C$101+(2/Assumptions!$C$102)*(1-Assumptions!$C$101))*$C$21+G9*MIN(1,Assumptions!$C$101+(1/Assumptions!$C$102)*(1-Assumptions!$C$101))*$C$21+H9*MIN(1,Assumptions!$C$101+(0/Assumptions!$C$102)*(1-Assumptions!$C$101))*$C$21</f>
        <v>0</v>
      </c>
      <c r="I25" s="6" t="n">
        <f aca="false">C9*MIN(1,Assumptions!$C$101+(6/Assumptions!$C$102)*(1-Assumptions!$C$101))*$C$21+D9*MIN(1,Assumptions!$C$101+(5/Assumptions!$C$102)*(1-Assumptions!$C$101))*$C$21+E9*MIN(1,Assumptions!$C$101+(4/Assumptions!$C$102)*(1-Assumptions!$C$101))*$C$21+F9*MIN(1,Assumptions!$C$101+(3/Assumptions!$C$102)*(1-Assumptions!$C$101))*$C$21+G9*MIN(1,Assumptions!$C$101+(2/Assumptions!$C$102)*(1-Assumptions!$C$101))*$C$21+H9*MIN(1,Assumptions!$C$101+(1/Assumptions!$C$102)*(1-Assumptions!$C$101))*$C$21+I9*MIN(1,Assumptions!$C$101+(0/Assumptions!$C$102)*(1-Assumptions!$C$101))*$C$21</f>
        <v>0</v>
      </c>
      <c r="J25" s="6" t="n">
        <f aca="false">C9*MIN(1,Assumptions!$C$101+(7/Assumptions!$C$102)*(1-Assumptions!$C$101))*$C$21+D9*MIN(1,Assumptions!$C$101+(6/Assumptions!$C$102)*(1-Assumptions!$C$101))*$C$21+E9*MIN(1,Assumptions!$C$101+(5/Assumptions!$C$102)*(1-Assumptions!$C$101))*$C$21+F9*MIN(1,Assumptions!$C$101+(4/Assumptions!$C$102)*(1-Assumptions!$C$101))*$C$21+G9*MIN(1,Assumptions!$C$101+(3/Assumptions!$C$102)*(1-Assumptions!$C$101))*$C$21+H9*MIN(1,Assumptions!$C$101+(2/Assumptions!$C$102)*(1-Assumptions!$C$101))*$C$21+I9*MIN(1,Assumptions!$C$101+(1/Assumptions!$C$102)*(1-Assumptions!$C$101))*$C$21+J9*MIN(1,Assumptions!$C$101+(0/Assumptions!$C$102)*(1-Assumptions!$C$101))*$C$21</f>
        <v>0</v>
      </c>
      <c r="K25" s="6" t="n">
        <f aca="false">C9*MIN(1,Assumptions!$C$101+(8/Assumptions!$C$102)*(1-Assumptions!$C$101))*$C$21+D9*MIN(1,Assumptions!$C$101+(7/Assumptions!$C$102)*(1-Assumptions!$C$101))*$C$21+E9*MIN(1,Assumptions!$C$101+(6/Assumptions!$C$102)*(1-Assumptions!$C$101))*$C$21+F9*MIN(1,Assumptions!$C$101+(5/Assumptions!$C$102)*(1-Assumptions!$C$101))*$C$21+G9*MIN(1,Assumptions!$C$101+(4/Assumptions!$C$102)*(1-Assumptions!$C$101))*$C$21+H9*MIN(1,Assumptions!$C$101+(3/Assumptions!$C$102)*(1-Assumptions!$C$101))*$C$21+I9*MIN(1,Assumptions!$C$101+(2/Assumptions!$C$102)*(1-Assumptions!$C$101))*$C$21+J9*MIN(1,Assumptions!$C$101+(1/Assumptions!$C$102)*(1-Assumptions!$C$101))*$C$21+K9*MIN(1,Assumptions!$C$101+(0/Assumptions!$C$102)*(1-Assumptions!$C$101))*$C$21</f>
        <v>0</v>
      </c>
      <c r="L25" s="6" t="n">
        <f aca="false">C9*MIN(1,Assumptions!$C$101+(9/Assumptions!$C$102)*(1-Assumptions!$C$101))*$C$21+D9*MIN(1,Assumptions!$C$101+(8/Assumptions!$C$102)*(1-Assumptions!$C$101))*$C$21+E9*MIN(1,Assumptions!$C$101+(7/Assumptions!$C$102)*(1-Assumptions!$C$101))*$C$21+F9*MIN(1,Assumptions!$C$101+(6/Assumptions!$C$102)*(1-Assumptions!$C$101))*$C$21+G9*MIN(1,Assumptions!$C$101+(5/Assumptions!$C$102)*(1-Assumptions!$C$101))*$C$21+H9*MIN(1,Assumptions!$C$101+(4/Assumptions!$C$102)*(1-Assumptions!$C$101))*$C$21+I9*MIN(1,Assumptions!$C$101+(3/Assumptions!$C$102)*(1-Assumptions!$C$101))*$C$21+J9*MIN(1,Assumptions!$C$101+(2/Assumptions!$C$102)*(1-Assumptions!$C$101))*$C$21+K9*MIN(1,Assumptions!$C$101+(1/Assumptions!$C$102)*(1-Assumptions!$C$101))*$C$21+L9*MIN(1,Assumptions!$C$101+(0/Assumptions!$C$102)*(1-Assumptions!$C$101))*$C$21</f>
        <v>0</v>
      </c>
      <c r="M25" s="6" t="n">
        <f aca="false">C9*MIN(1,Assumptions!$C$101+(10/Assumptions!$C$102)*(1-Assumptions!$C$101))*$C$21+D9*MIN(1,Assumptions!$C$101+(9/Assumptions!$C$102)*(1-Assumptions!$C$101))*$C$21+E9*MIN(1,Assumptions!$C$101+(8/Assumptions!$C$102)*(1-Assumptions!$C$101))*$C$21+F9*MIN(1,Assumptions!$C$101+(7/Assumptions!$C$102)*(1-Assumptions!$C$101))*$C$21+G9*MIN(1,Assumptions!$C$101+(6/Assumptions!$C$102)*(1-Assumptions!$C$101))*$C$21+H9*MIN(1,Assumptions!$C$101+(5/Assumptions!$C$102)*(1-Assumptions!$C$101))*$C$21+I9*MIN(1,Assumptions!$C$101+(4/Assumptions!$C$102)*(1-Assumptions!$C$101))*$C$21+J9*MIN(1,Assumptions!$C$101+(3/Assumptions!$C$102)*(1-Assumptions!$C$101))*$C$21+K9*MIN(1,Assumptions!$C$101+(2/Assumptions!$C$102)*(1-Assumptions!$C$101))*$C$21+L9*MIN(1,Assumptions!$C$101+(1/Assumptions!$C$102)*(1-Assumptions!$C$101))*$C$21+M9*MIN(1,Assumptions!$C$101+(0/Assumptions!$C$102)*(1-Assumptions!$C$101))*$C$21</f>
        <v>0</v>
      </c>
      <c r="N25" s="6" t="n">
        <f aca="false">C9*MIN(1,Assumptions!$C$101+(11/Assumptions!$C$102)*(1-Assumptions!$C$101))*$C$21+D9*MIN(1,Assumptions!$C$101+(10/Assumptions!$C$102)*(1-Assumptions!$C$101))*$C$21+E9*MIN(1,Assumptions!$C$101+(9/Assumptions!$C$102)*(1-Assumptions!$C$101))*$C$21+F9*MIN(1,Assumptions!$C$101+(8/Assumptions!$C$102)*(1-Assumptions!$C$101))*$C$21+G9*MIN(1,Assumptions!$C$101+(7/Assumptions!$C$102)*(1-Assumptions!$C$101))*$C$21+H9*MIN(1,Assumptions!$C$101+(6/Assumptions!$C$102)*(1-Assumptions!$C$101))*$C$21+I9*MIN(1,Assumptions!$C$101+(5/Assumptions!$C$102)*(1-Assumptions!$C$101))*$C$21+J9*MIN(1,Assumptions!$C$101+(4/Assumptions!$C$102)*(1-Assumptions!$C$101))*$C$21+K9*MIN(1,Assumptions!$C$101+(3/Assumptions!$C$102)*(1-Assumptions!$C$101))*$C$21+L9*MIN(1,Assumptions!$C$101+(2/Assumptions!$C$102)*(1-Assumptions!$C$101))*$C$21+M9*MIN(1,Assumptions!$C$101+(1/Assumptions!$C$102)*(1-Assumptions!$C$101))*$C$21+N9*MIN(1,Assumptions!$C$101+(0/Assumptions!$C$102)*(1-Assumptions!$C$101))*$C$21</f>
        <v>11520</v>
      </c>
      <c r="O25" s="6" t="n">
        <f aca="false">C9*MIN(1,Assumptions!$C$101+(12/Assumptions!$C$102)*(1-Assumptions!$C$101))*$C$21+D9*MIN(1,Assumptions!$C$101+(11/Assumptions!$C$102)*(1-Assumptions!$C$101))*$C$21+E9*MIN(1,Assumptions!$C$101+(10/Assumptions!$C$102)*(1-Assumptions!$C$101))*$C$21+F9*MIN(1,Assumptions!$C$101+(9/Assumptions!$C$102)*(1-Assumptions!$C$101))*$C$21+G9*MIN(1,Assumptions!$C$101+(8/Assumptions!$C$102)*(1-Assumptions!$C$101))*$C$21+H9*MIN(1,Assumptions!$C$101+(7/Assumptions!$C$102)*(1-Assumptions!$C$101))*$C$21+I9*MIN(1,Assumptions!$C$101+(6/Assumptions!$C$102)*(1-Assumptions!$C$101))*$C$21+J9*MIN(1,Assumptions!$C$101+(5/Assumptions!$C$102)*(1-Assumptions!$C$101))*$C$21+K9*MIN(1,Assumptions!$C$101+(4/Assumptions!$C$102)*(1-Assumptions!$C$101))*$C$21+L9*MIN(1,Assumptions!$C$101+(3/Assumptions!$C$102)*(1-Assumptions!$C$101))*$C$21+M9*MIN(1,Assumptions!$C$101+(2/Assumptions!$C$102)*(1-Assumptions!$C$101))*$C$21+N9*MIN(1,Assumptions!$C$101+(1/Assumptions!$C$102)*(1-Assumptions!$C$101))*$C$21+O9*MIN(1,Assumptions!$C$101+(0/Assumptions!$C$102)*(1-Assumptions!$C$101))*$C$21</f>
        <v>38016</v>
      </c>
      <c r="P25" s="6" t="n">
        <f aca="false">C9*MIN(1,Assumptions!$C$101+(13/Assumptions!$C$102)*(1-Assumptions!$C$101))*$C$21+D9*MIN(1,Assumptions!$C$101+(12/Assumptions!$C$102)*(1-Assumptions!$C$101))*$C$21+E9*MIN(1,Assumptions!$C$101+(11/Assumptions!$C$102)*(1-Assumptions!$C$101))*$C$21+F9*MIN(1,Assumptions!$C$101+(10/Assumptions!$C$102)*(1-Assumptions!$C$101))*$C$21+G9*MIN(1,Assumptions!$C$101+(9/Assumptions!$C$102)*(1-Assumptions!$C$101))*$C$21+H9*MIN(1,Assumptions!$C$101+(8/Assumptions!$C$102)*(1-Assumptions!$C$101))*$C$21+I9*MIN(1,Assumptions!$C$101+(7/Assumptions!$C$102)*(1-Assumptions!$C$101))*$C$21+J9*MIN(1,Assumptions!$C$101+(6/Assumptions!$C$102)*(1-Assumptions!$C$101))*$C$21+K9*MIN(1,Assumptions!$C$101+(5/Assumptions!$C$102)*(1-Assumptions!$C$101))*$C$21+L9*MIN(1,Assumptions!$C$101+(4/Assumptions!$C$102)*(1-Assumptions!$C$101))*$C$21+M9*MIN(1,Assumptions!$C$101+(3/Assumptions!$C$102)*(1-Assumptions!$C$101))*$C$21+N9*MIN(1,Assumptions!$C$101+(2/Assumptions!$C$102)*(1-Assumptions!$C$101))*$C$21+O9*MIN(1,Assumptions!$C$101+(1/Assumptions!$C$102)*(1-Assumptions!$C$101))*$C$21+P9*MIN(1,Assumptions!$C$101+(0/Assumptions!$C$102)*(1-Assumptions!$C$101))*$C$21</f>
        <v>71424</v>
      </c>
      <c r="Q25" s="6" t="n">
        <f aca="false">C9*MIN(1,Assumptions!$C$101+(14/Assumptions!$C$102)*(1-Assumptions!$C$101))*$C$21+D9*MIN(1,Assumptions!$C$101+(13/Assumptions!$C$102)*(1-Assumptions!$C$101))*$C$21+E9*MIN(1,Assumptions!$C$101+(12/Assumptions!$C$102)*(1-Assumptions!$C$101))*$C$21+F9*MIN(1,Assumptions!$C$101+(11/Assumptions!$C$102)*(1-Assumptions!$C$101))*$C$21+G9*MIN(1,Assumptions!$C$101+(10/Assumptions!$C$102)*(1-Assumptions!$C$101))*$C$21+H9*MIN(1,Assumptions!$C$101+(9/Assumptions!$C$102)*(1-Assumptions!$C$101))*$C$21+I9*MIN(1,Assumptions!$C$101+(8/Assumptions!$C$102)*(1-Assumptions!$C$101))*$C$21+J9*MIN(1,Assumptions!$C$101+(7/Assumptions!$C$102)*(1-Assumptions!$C$101))*$C$21+K9*MIN(1,Assumptions!$C$101+(6/Assumptions!$C$102)*(1-Assumptions!$C$101))*$C$21+L9*MIN(1,Assumptions!$C$101+(5/Assumptions!$C$102)*(1-Assumptions!$C$101))*$C$21+M9*MIN(1,Assumptions!$C$101+(4/Assumptions!$C$102)*(1-Assumptions!$C$101))*$C$21+N9*MIN(1,Assumptions!$C$101+(3/Assumptions!$C$102)*(1-Assumptions!$C$101))*$C$21+O9*MIN(1,Assumptions!$C$101+(2/Assumptions!$C$102)*(1-Assumptions!$C$101))*$C$21+P9*MIN(1,Assumptions!$C$101+(1/Assumptions!$C$102)*(1-Assumptions!$C$101))*$C$21+Q9*MIN(1,Assumptions!$C$101+(0/Assumptions!$C$102)*(1-Assumptions!$C$101))*$C$21</f>
        <v>123264</v>
      </c>
      <c r="R25" s="6" t="n">
        <f aca="false">C9*MIN(1,Assumptions!$C$101+(15/Assumptions!$C$102)*(1-Assumptions!$C$101))*$C$21+D9*MIN(1,Assumptions!$C$101+(14/Assumptions!$C$102)*(1-Assumptions!$C$101))*$C$21+E9*MIN(1,Assumptions!$C$101+(13/Assumptions!$C$102)*(1-Assumptions!$C$101))*$C$21+F9*MIN(1,Assumptions!$C$101+(12/Assumptions!$C$102)*(1-Assumptions!$C$101))*$C$21+G9*MIN(1,Assumptions!$C$101+(11/Assumptions!$C$102)*(1-Assumptions!$C$101))*$C$21+H9*MIN(1,Assumptions!$C$101+(10/Assumptions!$C$102)*(1-Assumptions!$C$101))*$C$21+I9*MIN(1,Assumptions!$C$101+(9/Assumptions!$C$102)*(1-Assumptions!$C$101))*$C$21+J9*MIN(1,Assumptions!$C$101+(8/Assumptions!$C$102)*(1-Assumptions!$C$101))*$C$21+K9*MIN(1,Assumptions!$C$101+(7/Assumptions!$C$102)*(1-Assumptions!$C$101))*$C$21+L9*MIN(1,Assumptions!$C$101+(6/Assumptions!$C$102)*(1-Assumptions!$C$101))*$C$21+M9*MIN(1,Assumptions!$C$101+(5/Assumptions!$C$102)*(1-Assumptions!$C$101))*$C$21+N9*MIN(1,Assumptions!$C$101+(4/Assumptions!$C$102)*(1-Assumptions!$C$101))*$C$21+O9*MIN(1,Assumptions!$C$101+(3/Assumptions!$C$102)*(1-Assumptions!$C$101))*$C$21+P9*MIN(1,Assumptions!$C$101+(2/Assumptions!$C$102)*(1-Assumptions!$C$101))*$C$21+Q9*MIN(1,Assumptions!$C$101+(1/Assumptions!$C$102)*(1-Assumptions!$C$101))*$C$21+R9*MIN(1,Assumptions!$C$101+(0/Assumptions!$C$102)*(1-Assumptions!$C$101))*$C$21</f>
        <v>196992</v>
      </c>
      <c r="S25" s="6" t="n">
        <f aca="false">C9*MIN(1,Assumptions!$C$101+(16/Assumptions!$C$102)*(1-Assumptions!$C$101))*$C$21+D9*MIN(1,Assumptions!$C$101+(15/Assumptions!$C$102)*(1-Assumptions!$C$101))*$C$21+E9*MIN(1,Assumptions!$C$101+(14/Assumptions!$C$102)*(1-Assumptions!$C$101))*$C$21+F9*MIN(1,Assumptions!$C$101+(13/Assumptions!$C$102)*(1-Assumptions!$C$101))*$C$21+G9*MIN(1,Assumptions!$C$101+(12/Assumptions!$C$102)*(1-Assumptions!$C$101))*$C$21+H9*MIN(1,Assumptions!$C$101+(11/Assumptions!$C$102)*(1-Assumptions!$C$101))*$C$21+I9*MIN(1,Assumptions!$C$101+(10/Assumptions!$C$102)*(1-Assumptions!$C$101))*$C$21+J9*MIN(1,Assumptions!$C$101+(9/Assumptions!$C$102)*(1-Assumptions!$C$101))*$C$21+K9*MIN(1,Assumptions!$C$101+(8/Assumptions!$C$102)*(1-Assumptions!$C$101))*$C$21+L9*MIN(1,Assumptions!$C$101+(7/Assumptions!$C$102)*(1-Assumptions!$C$101))*$C$21+M9*MIN(1,Assumptions!$C$101+(6/Assumptions!$C$102)*(1-Assumptions!$C$101))*$C$21+N9*MIN(1,Assumptions!$C$101+(5/Assumptions!$C$102)*(1-Assumptions!$C$101))*$C$21+O9*MIN(1,Assumptions!$C$101+(4/Assumptions!$C$102)*(1-Assumptions!$C$101))*$C$21+P9*MIN(1,Assumptions!$C$101+(3/Assumptions!$C$102)*(1-Assumptions!$C$101))*$C$21+Q9*MIN(1,Assumptions!$C$101+(2/Assumptions!$C$102)*(1-Assumptions!$C$101))*$C$21+R9*MIN(1,Assumptions!$C$101+(1/Assumptions!$C$102)*(1-Assumptions!$C$101))*$C$21+S9*MIN(1,Assumptions!$C$101+(0/Assumptions!$C$102)*(1-Assumptions!$C$101))*$C$21</f>
        <v>273024</v>
      </c>
      <c r="T25" s="6" t="n">
        <f aca="false">C9*MIN(1,Assumptions!$C$101+(17/Assumptions!$C$102)*(1-Assumptions!$C$101))*$C$21+D9*MIN(1,Assumptions!$C$101+(16/Assumptions!$C$102)*(1-Assumptions!$C$101))*$C$21+E9*MIN(1,Assumptions!$C$101+(15/Assumptions!$C$102)*(1-Assumptions!$C$101))*$C$21+F9*MIN(1,Assumptions!$C$101+(14/Assumptions!$C$102)*(1-Assumptions!$C$101))*$C$21+G9*MIN(1,Assumptions!$C$101+(13/Assumptions!$C$102)*(1-Assumptions!$C$101))*$C$21+H9*MIN(1,Assumptions!$C$101+(12/Assumptions!$C$102)*(1-Assumptions!$C$101))*$C$21+I9*MIN(1,Assumptions!$C$101+(11/Assumptions!$C$102)*(1-Assumptions!$C$101))*$C$21+J9*MIN(1,Assumptions!$C$101+(10/Assumptions!$C$102)*(1-Assumptions!$C$101))*$C$21+K9*MIN(1,Assumptions!$C$101+(9/Assumptions!$C$102)*(1-Assumptions!$C$101))*$C$21+L9*MIN(1,Assumptions!$C$101+(8/Assumptions!$C$102)*(1-Assumptions!$C$101))*$C$21+M9*MIN(1,Assumptions!$C$101+(7/Assumptions!$C$102)*(1-Assumptions!$C$101))*$C$21+N9*MIN(1,Assumptions!$C$101+(6/Assumptions!$C$102)*(1-Assumptions!$C$101))*$C$21+O9*MIN(1,Assumptions!$C$101+(5/Assumptions!$C$102)*(1-Assumptions!$C$101))*$C$21+P9*MIN(1,Assumptions!$C$101+(4/Assumptions!$C$102)*(1-Assumptions!$C$101))*$C$21+Q9*MIN(1,Assumptions!$C$101+(3/Assumptions!$C$102)*(1-Assumptions!$C$101))*$C$21+R9*MIN(1,Assumptions!$C$101+(2/Assumptions!$C$102)*(1-Assumptions!$C$101))*$C$21+S9*MIN(1,Assumptions!$C$101+(1/Assumptions!$C$102)*(1-Assumptions!$C$101))*$C$21+T9*MIN(1,Assumptions!$C$101+(0/Assumptions!$C$102)*(1-Assumptions!$C$101))*$C$21</f>
        <v>367488</v>
      </c>
      <c r="U25" s="6" t="n">
        <f aca="false">C9*MIN(1,Assumptions!$C$101+(18/Assumptions!$C$102)*(1-Assumptions!$C$101))*$C$21+D9*MIN(1,Assumptions!$C$101+(17/Assumptions!$C$102)*(1-Assumptions!$C$101))*$C$21+E9*MIN(1,Assumptions!$C$101+(16/Assumptions!$C$102)*(1-Assumptions!$C$101))*$C$21+F9*MIN(1,Assumptions!$C$101+(15/Assumptions!$C$102)*(1-Assumptions!$C$101))*$C$21+G9*MIN(1,Assumptions!$C$101+(14/Assumptions!$C$102)*(1-Assumptions!$C$101))*$C$21+H9*MIN(1,Assumptions!$C$101+(13/Assumptions!$C$102)*(1-Assumptions!$C$101))*$C$21+I9*MIN(1,Assumptions!$C$101+(12/Assumptions!$C$102)*(1-Assumptions!$C$101))*$C$21+J9*MIN(1,Assumptions!$C$101+(11/Assumptions!$C$102)*(1-Assumptions!$C$101))*$C$21+K9*MIN(1,Assumptions!$C$101+(10/Assumptions!$C$102)*(1-Assumptions!$C$101))*$C$21+L9*MIN(1,Assumptions!$C$101+(9/Assumptions!$C$102)*(1-Assumptions!$C$101))*$C$21+M9*MIN(1,Assumptions!$C$101+(8/Assumptions!$C$102)*(1-Assumptions!$C$101))*$C$21+N9*MIN(1,Assumptions!$C$101+(7/Assumptions!$C$102)*(1-Assumptions!$C$101))*$C$21+O9*MIN(1,Assumptions!$C$101+(6/Assumptions!$C$102)*(1-Assumptions!$C$101))*$C$21+P9*MIN(1,Assumptions!$C$101+(5/Assumptions!$C$102)*(1-Assumptions!$C$101))*$C$21+Q9*MIN(1,Assumptions!$C$101+(4/Assumptions!$C$102)*(1-Assumptions!$C$101))*$C$21+R9*MIN(1,Assumptions!$C$101+(3/Assumptions!$C$102)*(1-Assumptions!$C$101))*$C$21+S9*MIN(1,Assumptions!$C$101+(2/Assumptions!$C$102)*(1-Assumptions!$C$101))*$C$21+T9*MIN(1,Assumptions!$C$101+(1/Assumptions!$C$102)*(1-Assumptions!$C$101))*$C$21+U9*MIN(1,Assumptions!$C$101+(0/Assumptions!$C$102)*(1-Assumptions!$C$101))*$C$21</f>
        <v>468864</v>
      </c>
      <c r="V25" s="6" t="n">
        <f aca="false">C9*MIN(1,Assumptions!$C$101+(19/Assumptions!$C$102)*(1-Assumptions!$C$101))*$C$21+D9*MIN(1,Assumptions!$C$101+(18/Assumptions!$C$102)*(1-Assumptions!$C$101))*$C$21+E9*MIN(1,Assumptions!$C$101+(17/Assumptions!$C$102)*(1-Assumptions!$C$101))*$C$21+F9*MIN(1,Assumptions!$C$101+(16/Assumptions!$C$102)*(1-Assumptions!$C$101))*$C$21+G9*MIN(1,Assumptions!$C$101+(15/Assumptions!$C$102)*(1-Assumptions!$C$101))*$C$21+H9*MIN(1,Assumptions!$C$101+(14/Assumptions!$C$102)*(1-Assumptions!$C$101))*$C$21+I9*MIN(1,Assumptions!$C$101+(13/Assumptions!$C$102)*(1-Assumptions!$C$101))*$C$21+J9*MIN(1,Assumptions!$C$101+(12/Assumptions!$C$102)*(1-Assumptions!$C$101))*$C$21+K9*MIN(1,Assumptions!$C$101+(11/Assumptions!$C$102)*(1-Assumptions!$C$101))*$C$21+L9*MIN(1,Assumptions!$C$101+(10/Assumptions!$C$102)*(1-Assumptions!$C$101))*$C$21+M9*MIN(1,Assumptions!$C$101+(9/Assumptions!$C$102)*(1-Assumptions!$C$101))*$C$21+N9*MIN(1,Assumptions!$C$101+(8/Assumptions!$C$102)*(1-Assumptions!$C$101))*$C$21+O9*MIN(1,Assumptions!$C$101+(7/Assumptions!$C$102)*(1-Assumptions!$C$101))*$C$21+P9*MIN(1,Assumptions!$C$101+(6/Assumptions!$C$102)*(1-Assumptions!$C$101))*$C$21+Q9*MIN(1,Assumptions!$C$101+(5/Assumptions!$C$102)*(1-Assumptions!$C$101))*$C$21+R9*MIN(1,Assumptions!$C$101+(4/Assumptions!$C$102)*(1-Assumptions!$C$101))*$C$21+S9*MIN(1,Assumptions!$C$101+(3/Assumptions!$C$102)*(1-Assumptions!$C$101))*$C$21+T9*MIN(1,Assumptions!$C$101+(2/Assumptions!$C$102)*(1-Assumptions!$C$101))*$C$21+U9*MIN(1,Assumptions!$C$101+(1/Assumptions!$C$102)*(1-Assumptions!$C$101))*$C$21+V9*MIN(1,Assumptions!$C$101+(0/Assumptions!$C$102)*(1-Assumptions!$C$101))*$C$21</f>
        <v>588672</v>
      </c>
    </row>
    <row r="26" customFormat="false" ht="15" hidden="false" customHeight="false" outlineLevel="0" collapsed="false">
      <c r="B26" s="10" t="s">
        <v>459</v>
      </c>
      <c r="C26" s="6" t="n">
        <v>0</v>
      </c>
      <c r="D26" s="6" t="n">
        <v>0</v>
      </c>
      <c r="E26" s="6" t="n">
        <f aca="false">C9*INDEX(Assumptions!$C$77:$C$84,1)*$C$22</f>
        <v>0</v>
      </c>
      <c r="F26" s="6" t="n">
        <f aca="false">C9*INDEX(Assumptions!$C$77:$C$84,2)*$C$22+D9*INDEX(Assumptions!$C$77:$C$84,1)*$C$22</f>
        <v>0</v>
      </c>
      <c r="G26" s="6" t="n">
        <f aca="false">C9*INDEX(Assumptions!$C$77:$C$84,3)*$C$22+D9*INDEX(Assumptions!$C$77:$C$84,2)*$C$22+E9*INDEX(Assumptions!$C$77:$C$84,1)*$C$22</f>
        <v>0</v>
      </c>
      <c r="H26" s="6" t="n">
        <f aca="false">C9*INDEX(Assumptions!$C$77:$C$84,4)*$C$22+D9*INDEX(Assumptions!$C$77:$C$84,3)*$C$22+E9*INDEX(Assumptions!$C$77:$C$84,2)*$C$22+F9*INDEX(Assumptions!$C$77:$C$84,1)*$C$22</f>
        <v>0</v>
      </c>
      <c r="I26" s="6" t="n">
        <f aca="false">C9*INDEX(Assumptions!$C$77:$C$84,5)*$C$22+D9*INDEX(Assumptions!$C$77:$C$84,4)*$C$22+E9*INDEX(Assumptions!$C$77:$C$84,3)*$C$22+F9*INDEX(Assumptions!$C$77:$C$84,2)*$C$22+G9*INDEX(Assumptions!$C$77:$C$84,1)*$C$22</f>
        <v>0</v>
      </c>
      <c r="J26" s="6" t="n">
        <f aca="false">C9*INDEX(Assumptions!$C$77:$C$84,6)*$C$22+D9*INDEX(Assumptions!$C$77:$C$84,5)*$C$22+E9*INDEX(Assumptions!$C$77:$C$84,4)*$C$22+F9*INDEX(Assumptions!$C$77:$C$84,3)*$C$22+G9*INDEX(Assumptions!$C$77:$C$84,2)*$C$22+H9*INDEX(Assumptions!$C$77:$C$84,1)*$C$22</f>
        <v>0</v>
      </c>
      <c r="K26" s="6" t="n">
        <f aca="false">C9*INDEX(Assumptions!$C$77:$C$84,7)*$C$22+D9*INDEX(Assumptions!$C$77:$C$84,6)*$C$22+E9*INDEX(Assumptions!$C$77:$C$84,5)*$C$22+F9*INDEX(Assumptions!$C$77:$C$84,4)*$C$22+G9*INDEX(Assumptions!$C$77:$C$84,3)*$C$22+H9*INDEX(Assumptions!$C$77:$C$84,2)*$C$22+I9*INDEX(Assumptions!$C$77:$C$84,1)*$C$22</f>
        <v>0</v>
      </c>
      <c r="L26" s="6" t="n">
        <f aca="false">C9*1*$C$22+D9*INDEX(Assumptions!$C$77:$C$84,7)*$C$22+E9*INDEX(Assumptions!$C$77:$C$84,6)*$C$22+F9*INDEX(Assumptions!$C$77:$C$84,5)*$C$22+G9*INDEX(Assumptions!$C$77:$C$84,4)*$C$22+H9*INDEX(Assumptions!$C$77:$C$84,3)*$C$22+I9*INDEX(Assumptions!$C$77:$C$84,2)*$C$22+J9*INDEX(Assumptions!$C$77:$C$84,1)*$C$22</f>
        <v>0</v>
      </c>
      <c r="M26" s="6" t="n">
        <f aca="false">C9*1*$C$22+D9*1*$C$22+E9*INDEX(Assumptions!$C$77:$C$84,7)*$C$22+F9*INDEX(Assumptions!$C$77:$C$84,6)*$C$22+G9*INDEX(Assumptions!$C$77:$C$84,5)*$C$22+H9*INDEX(Assumptions!$C$77:$C$84,4)*$C$22+I9*INDEX(Assumptions!$C$77:$C$84,3)*$C$22+J9*INDEX(Assumptions!$C$77:$C$84,2)*$C$22+K9*INDEX(Assumptions!$C$77:$C$84,1)*$C$22</f>
        <v>0</v>
      </c>
      <c r="N26" s="6" t="n">
        <f aca="false">C9*1*$C$22+D9*1*$C$22+E9*1*$C$22+F9*INDEX(Assumptions!$C$77:$C$84,7)*$C$22+G9*INDEX(Assumptions!$C$77:$C$84,6)*$C$22+H9*INDEX(Assumptions!$C$77:$C$84,5)*$C$22+I9*INDEX(Assumptions!$C$77:$C$84,4)*$C$22+J9*INDEX(Assumptions!$C$77:$C$84,3)*$C$22+K9*INDEX(Assumptions!$C$77:$C$84,2)*$C$22+L9*INDEX(Assumptions!$C$77:$C$84,1)*$C$22</f>
        <v>0</v>
      </c>
      <c r="O26" s="6" t="n">
        <f aca="false">C9*1*$C$22+D9*1*$C$22+E9*1*$C$22+F9*1*$C$22+G9*INDEX(Assumptions!$C$77:$C$84,7)*$C$22+H9*INDEX(Assumptions!$C$77:$C$84,6)*$C$22+I9*INDEX(Assumptions!$C$77:$C$84,5)*$C$22+J9*INDEX(Assumptions!$C$77:$C$84,4)*$C$22+K9*INDEX(Assumptions!$C$77:$C$84,3)*$C$22+L9*INDEX(Assumptions!$C$77:$C$84,2)*$C$22+M9*INDEX(Assumptions!$C$77:$C$84,1)*$C$22</f>
        <v>0</v>
      </c>
      <c r="P26" s="6" t="n">
        <f aca="false">C9*1*$C$22+D9*1*$C$22+E9*1*$C$22+F9*1*$C$22+G9*1*$C$22+H9*INDEX(Assumptions!$C$77:$C$84,7)*$C$22+I9*INDEX(Assumptions!$C$77:$C$84,6)*$C$22+J9*INDEX(Assumptions!$C$77:$C$84,5)*$C$22+K9*INDEX(Assumptions!$C$77:$C$84,4)*$C$22+L9*INDEX(Assumptions!$C$77:$C$84,3)*$C$22+M9*INDEX(Assumptions!$C$77:$C$84,2)*$C$22+N9*INDEX(Assumptions!$C$77:$C$84,1)*$C$22</f>
        <v>3240</v>
      </c>
      <c r="Q26" s="6" t="n">
        <f aca="false">C9*1*$C$22+D9*1*$C$22+E9*1*$C$22+F9*1*$C$22+G9*1*$C$22+H9*1*$C$22+I9*INDEX(Assumptions!$C$77:$C$84,7)*$C$22+J9*INDEX(Assumptions!$C$77:$C$84,6)*$C$22+K9*INDEX(Assumptions!$C$77:$C$84,5)*$C$22+L9*INDEX(Assumptions!$C$77:$C$84,4)*$C$22+M9*INDEX(Assumptions!$C$77:$C$84,3)*$C$22+N9*INDEX(Assumptions!$C$77:$C$84,2)*$C$22+O9*INDEX(Assumptions!$C$77:$C$84,1)*$C$22</f>
        <v>11340</v>
      </c>
      <c r="R26" s="6" t="n">
        <f aca="false">C9*1*$C$22+D9*1*$C$22+E9*1*$C$22+F9*1*$C$22+G9*1*$C$22+H9*1*$C$22+I9*1*$C$22+J9*INDEX(Assumptions!$C$77:$C$84,7)*$C$22+K9*INDEX(Assumptions!$C$77:$C$84,6)*$C$22+L9*INDEX(Assumptions!$C$77:$C$84,5)*$C$22+M9*INDEX(Assumptions!$C$77:$C$84,4)*$C$22+N9*INDEX(Assumptions!$C$77:$C$84,3)*$C$22+O9*INDEX(Assumptions!$C$77:$C$84,2)*$C$22+P9*INDEX(Assumptions!$C$77:$C$84,1)*$C$22</f>
        <v>23760</v>
      </c>
      <c r="S26" s="6" t="n">
        <f aca="false">C9*1*$C$22+D9*1*$C$22+E9*1*$C$22+F9*1*$C$22+G9*1*$C$22+H9*1*$C$22+I9*1*$C$22+J9*1*$C$22+K9*INDEX(Assumptions!$C$77:$C$84,7)*$C$22+L9*INDEX(Assumptions!$C$77:$C$84,6)*$C$22+M9*INDEX(Assumptions!$C$77:$C$84,5)*$C$22+N9*INDEX(Assumptions!$C$77:$C$84,4)*$C$22+O9*INDEX(Assumptions!$C$77:$C$84,3)*$C$22+P9*INDEX(Assumptions!$C$77:$C$84,2)*$C$22+Q9*INDEX(Assumptions!$C$77:$C$84,1)*$C$22</f>
        <v>45900</v>
      </c>
      <c r="T26" s="6" t="n">
        <f aca="false">C9*1*$C$22+D9*1*$C$22+E9*1*$C$22+F9*1*$C$22+G9*1*$C$22+H9*1*$C$22+I9*1*$C$22+J9*1*$C$22+K9*1*$C$22+L9*INDEX(Assumptions!$C$77:$C$84,7)*$C$22+M9*INDEX(Assumptions!$C$77:$C$84,6)*$C$22+N9*INDEX(Assumptions!$C$77:$C$84,5)*$C$22+O9*INDEX(Assumptions!$C$77:$C$84,4)*$C$22+P9*INDEX(Assumptions!$C$77:$C$84,3)*$C$22+Q9*INDEX(Assumptions!$C$77:$C$84,2)*$C$22+R9*INDEX(Assumptions!$C$77:$C$84,1)*$C$22</f>
        <v>81000</v>
      </c>
      <c r="U26" s="6" t="n">
        <f aca="false">C9*1*$C$22+D9*1*$C$22+E9*1*$C$22+F9*1*$C$22+G9*1*$C$22+H9*1*$C$22+I9*1*$C$22+J9*1*$C$22+K9*1*$C$22+L9*1*$C$22+M9*INDEX(Assumptions!$C$77:$C$84,7)*$C$22+N9*INDEX(Assumptions!$C$77:$C$84,6)*$C$22+O9*INDEX(Assumptions!$C$77:$C$84,5)*$C$22+P9*INDEX(Assumptions!$C$77:$C$84,4)*$C$22+Q9*INDEX(Assumptions!$C$77:$C$84,3)*$C$22+R9*INDEX(Assumptions!$C$77:$C$84,2)*$C$22+S9*INDEX(Assumptions!$C$77:$C$84,1)*$C$22</f>
        <v>126090</v>
      </c>
      <c r="V26" s="6" t="n">
        <f aca="false">C9*1*$C$22+D9*1*$C$22+E9*1*$C$22+F9*1*$C$22+G9*1*$C$22+H9*1*$C$22+I9*1*$C$22+J9*1*$C$22+K9*1*$C$22+L9*1*$C$22+M9*1*$C$22+N9*INDEX(Assumptions!$C$77:$C$84,7)*$C$22+O9*INDEX(Assumptions!$C$77:$C$84,6)*$C$22+P9*INDEX(Assumptions!$C$77:$C$84,5)*$C$22+Q9*INDEX(Assumptions!$C$77:$C$84,4)*$C$22+R9*INDEX(Assumptions!$C$77:$C$84,3)*$C$22+S9*INDEX(Assumptions!$C$77:$C$84,2)*$C$22+T9*INDEX(Assumptions!$C$77:$C$84,1)*$C$22</f>
        <v>187380</v>
      </c>
    </row>
    <row r="28" customFormat="false" ht="15" hidden="false" customHeight="false" outlineLevel="0" collapsed="false">
      <c r="B28" s="1" t="s">
        <v>460</v>
      </c>
      <c r="C28" s="21" t="n">
        <f aca="false">C24+C25+C26</f>
        <v>0</v>
      </c>
      <c r="D28" s="21" t="n">
        <f aca="false">D24+D25+D26</f>
        <v>0</v>
      </c>
      <c r="E28" s="21" t="n">
        <f aca="false">E24+E25+E26</f>
        <v>0</v>
      </c>
      <c r="F28" s="21" t="n">
        <f aca="false">F24+F25+F26</f>
        <v>0</v>
      </c>
      <c r="G28" s="21" t="n">
        <f aca="false">G24+G25+G26</f>
        <v>0</v>
      </c>
      <c r="H28" s="21" t="n">
        <f aca="false">H24+H25+H26</f>
        <v>0</v>
      </c>
      <c r="I28" s="21" t="n">
        <f aca="false">I24+I25+I26</f>
        <v>0</v>
      </c>
      <c r="J28" s="21" t="n">
        <f aca="false">J24+J25+J26</f>
        <v>0</v>
      </c>
      <c r="K28" s="21" t="n">
        <f aca="false">K24+K25+K26</f>
        <v>0</v>
      </c>
      <c r="L28" s="21" t="n">
        <f aca="false">L24+L25+L26</f>
        <v>0</v>
      </c>
      <c r="M28" s="21" t="n">
        <f aca="false">M24+M25+M26</f>
        <v>0</v>
      </c>
      <c r="N28" s="21" t="n">
        <f aca="false">N24+N25+N26</f>
        <v>11520</v>
      </c>
      <c r="O28" s="21" t="n">
        <f aca="false">O24+O25+O26</f>
        <v>64857.984</v>
      </c>
      <c r="P28" s="21" t="n">
        <f aca="false">P24+P25+P26</f>
        <v>168610.944</v>
      </c>
      <c r="Q28" s="21" t="n">
        <f aca="false">Q24+Q25+Q26</f>
        <v>331445.216</v>
      </c>
      <c r="R28" s="21" t="n">
        <f aca="false">R24+R25+R26</f>
        <v>601013.44</v>
      </c>
      <c r="S28" s="21" t="n">
        <f aca="false">S24+S25+S26</f>
        <v>989973.6</v>
      </c>
      <c r="T28" s="21" t="n">
        <f aca="false">T24+T25+T26</f>
        <v>1493088.544</v>
      </c>
      <c r="U28" s="21" t="n">
        <f aca="false">U24+U25+U26</f>
        <v>2147315.408</v>
      </c>
      <c r="V28" s="21" t="n">
        <f aca="false">V24+V25+V26</f>
        <v>2950252.704</v>
      </c>
    </row>
    <row r="30" customFormat="false" ht="15" hidden="false" customHeight="false" outlineLevel="0" collapsed="false">
      <c r="B30" s="1" t="s">
        <v>420</v>
      </c>
    </row>
    <row r="31" customFormat="false" ht="15" hidden="false" customHeight="false" outlineLevel="0" collapsed="false">
      <c r="B31" s="10" t="s">
        <v>461</v>
      </c>
      <c r="C31" s="6" t="n">
        <f aca="false">C14</f>
        <v>0</v>
      </c>
      <c r="D31" s="6" t="n">
        <f aca="false">D14</f>
        <v>0</v>
      </c>
      <c r="E31" s="6" t="n">
        <f aca="false">E14</f>
        <v>0</v>
      </c>
      <c r="F31" s="6" t="n">
        <f aca="false">F14</f>
        <v>0</v>
      </c>
      <c r="G31" s="6" t="n">
        <f aca="false">G14</f>
        <v>0</v>
      </c>
      <c r="H31" s="6" t="n">
        <f aca="false">H14</f>
        <v>0</v>
      </c>
      <c r="I31" s="6" t="n">
        <f aca="false">I14</f>
        <v>0</v>
      </c>
      <c r="J31" s="6" t="n">
        <f aca="false">J14</f>
        <v>0</v>
      </c>
      <c r="K31" s="6" t="n">
        <f aca="false">K14</f>
        <v>165000</v>
      </c>
      <c r="L31" s="6" t="n">
        <f aca="false">L14</f>
        <v>330000</v>
      </c>
      <c r="M31" s="6" t="n">
        <f aca="false">M14</f>
        <v>330000</v>
      </c>
      <c r="N31" s="6" t="n">
        <f aca="false">N14</f>
        <v>495000</v>
      </c>
      <c r="O31" s="6" t="n">
        <f aca="false">O14</f>
        <v>660000</v>
      </c>
      <c r="P31" s="6" t="n">
        <f aca="false">P14</f>
        <v>495000</v>
      </c>
      <c r="Q31" s="6" t="n">
        <f aca="false">Q14</f>
        <v>660000</v>
      </c>
      <c r="R31" s="6" t="n">
        <f aca="false">R14</f>
        <v>660000</v>
      </c>
      <c r="S31" s="6" t="n">
        <f aca="false">S14</f>
        <v>825000</v>
      </c>
      <c r="T31" s="6" t="n">
        <f aca="false">T14</f>
        <v>660000</v>
      </c>
      <c r="U31" s="6" t="n">
        <f aca="false">U14</f>
        <v>990000</v>
      </c>
      <c r="V31" s="6" t="n">
        <f aca="false">V14</f>
        <v>825000</v>
      </c>
    </row>
    <row r="32" customFormat="false" ht="15" hidden="false" customHeight="false" outlineLevel="0" collapsed="false">
      <c r="B32" s="10" t="s">
        <v>462</v>
      </c>
      <c r="C32" s="6" t="n">
        <f aca="false">C17</f>
        <v>0</v>
      </c>
      <c r="D32" s="6" t="n">
        <f aca="false">D17</f>
        <v>0</v>
      </c>
      <c r="E32" s="6" t="n">
        <f aca="false">E17</f>
        <v>0</v>
      </c>
      <c r="F32" s="6" t="n">
        <f aca="false">F17</f>
        <v>0</v>
      </c>
      <c r="G32" s="6" t="n">
        <f aca="false">G17</f>
        <v>0</v>
      </c>
      <c r="H32" s="6" t="n">
        <f aca="false">H17</f>
        <v>0</v>
      </c>
      <c r="I32" s="6" t="n">
        <f aca="false">I17</f>
        <v>0</v>
      </c>
      <c r="J32" s="6" t="n">
        <f aca="false">J17</f>
        <v>0</v>
      </c>
      <c r="K32" s="6" t="n">
        <f aca="false">K17</f>
        <v>71250</v>
      </c>
      <c r="L32" s="6" t="n">
        <f aca="false">L17</f>
        <v>213750</v>
      </c>
      <c r="M32" s="6" t="n">
        <f aca="false">M17</f>
        <v>356250</v>
      </c>
      <c r="N32" s="6" t="n">
        <f aca="false">N17</f>
        <v>570000</v>
      </c>
      <c r="O32" s="6" t="n">
        <f aca="false">O17</f>
        <v>855000</v>
      </c>
      <c r="P32" s="6" t="n">
        <f aca="false">P17</f>
        <v>1068750</v>
      </c>
      <c r="Q32" s="6" t="n">
        <f aca="false">Q17</f>
        <v>1353750</v>
      </c>
      <c r="R32" s="6" t="n">
        <f aca="false">R17</f>
        <v>1638750</v>
      </c>
      <c r="S32" s="6" t="n">
        <f aca="false">S17</f>
        <v>1995000</v>
      </c>
      <c r="T32" s="6" t="n">
        <f aca="false">T17</f>
        <v>2280000</v>
      </c>
      <c r="U32" s="6" t="n">
        <f aca="false">U17</f>
        <v>2707500</v>
      </c>
      <c r="V32" s="6" t="n">
        <f aca="false">V17</f>
        <v>3063750</v>
      </c>
    </row>
    <row r="33" customFormat="false" ht="15" hidden="false" customHeight="false" outlineLevel="0" collapsed="false">
      <c r="B33" s="10" t="s">
        <v>463</v>
      </c>
      <c r="C33" s="6" t="n">
        <f aca="false">C28</f>
        <v>0</v>
      </c>
      <c r="D33" s="6" t="n">
        <f aca="false">D28</f>
        <v>0</v>
      </c>
      <c r="E33" s="6" t="n">
        <f aca="false">E28</f>
        <v>0</v>
      </c>
      <c r="F33" s="6" t="n">
        <f aca="false">F28</f>
        <v>0</v>
      </c>
      <c r="G33" s="6" t="n">
        <f aca="false">G28</f>
        <v>0</v>
      </c>
      <c r="H33" s="6" t="n">
        <f aca="false">H28</f>
        <v>0</v>
      </c>
      <c r="I33" s="6" t="n">
        <f aca="false">I28</f>
        <v>0</v>
      </c>
      <c r="J33" s="6" t="n">
        <f aca="false">J28</f>
        <v>0</v>
      </c>
      <c r="K33" s="6" t="n">
        <f aca="false">K28</f>
        <v>0</v>
      </c>
      <c r="L33" s="6" t="n">
        <f aca="false">L28</f>
        <v>0</v>
      </c>
      <c r="M33" s="6" t="n">
        <f aca="false">M28</f>
        <v>0</v>
      </c>
      <c r="N33" s="6" t="n">
        <f aca="false">N28</f>
        <v>11520</v>
      </c>
      <c r="O33" s="6" t="n">
        <f aca="false">O28</f>
        <v>64857.984</v>
      </c>
      <c r="P33" s="6" t="n">
        <f aca="false">P28</f>
        <v>168610.944</v>
      </c>
      <c r="Q33" s="6" t="n">
        <f aca="false">Q28</f>
        <v>331445.216</v>
      </c>
      <c r="R33" s="6" t="n">
        <f aca="false">R28</f>
        <v>601013.44</v>
      </c>
      <c r="S33" s="6" t="n">
        <f aca="false">S28</f>
        <v>989973.6</v>
      </c>
      <c r="T33" s="6" t="n">
        <f aca="false">T28</f>
        <v>1493088.544</v>
      </c>
      <c r="U33" s="6" t="n">
        <f aca="false">U28</f>
        <v>2147315.408</v>
      </c>
      <c r="V33" s="6" t="n">
        <f aca="false">V28</f>
        <v>2950252.704</v>
      </c>
    </row>
    <row r="35" customFormat="false" ht="15" hidden="false" customHeight="false" outlineLevel="0" collapsed="false">
      <c r="B35" s="1" t="s">
        <v>464</v>
      </c>
      <c r="C35" s="21" t="n">
        <f aca="false">C31+C32+C33</f>
        <v>0</v>
      </c>
      <c r="D35" s="21" t="n">
        <f aca="false">D31+D32+D33</f>
        <v>0</v>
      </c>
      <c r="E35" s="21" t="n">
        <f aca="false">E31+E32+E33</f>
        <v>0</v>
      </c>
      <c r="F35" s="21" t="n">
        <f aca="false">F31+F32+F33</f>
        <v>0</v>
      </c>
      <c r="G35" s="21" t="n">
        <f aca="false">G31+G32+G33</f>
        <v>0</v>
      </c>
      <c r="H35" s="21" t="n">
        <f aca="false">H31+H32+H33</f>
        <v>0</v>
      </c>
      <c r="I35" s="21" t="n">
        <f aca="false">I31+I32+I33</f>
        <v>0</v>
      </c>
      <c r="J35" s="21" t="n">
        <f aca="false">J31+J32+J33</f>
        <v>0</v>
      </c>
      <c r="K35" s="21" t="n">
        <f aca="false">K31+K32+K33</f>
        <v>236250</v>
      </c>
      <c r="L35" s="21" t="n">
        <f aca="false">L31+L32+L33</f>
        <v>543750</v>
      </c>
      <c r="M35" s="21" t="n">
        <f aca="false">M31+M32+M33</f>
        <v>686250</v>
      </c>
      <c r="N35" s="21" t="n">
        <f aca="false">N31+N32+N33</f>
        <v>1076520</v>
      </c>
      <c r="O35" s="21" t="n">
        <f aca="false">O31+O32+O33</f>
        <v>1579857.984</v>
      </c>
      <c r="P35" s="21" t="n">
        <f aca="false">P31+P32+P33</f>
        <v>1732360.944</v>
      </c>
      <c r="Q35" s="21" t="n">
        <f aca="false">Q31+Q32+Q33</f>
        <v>2345195.216</v>
      </c>
      <c r="R35" s="21" t="n">
        <f aca="false">R31+R32+R33</f>
        <v>2899763.44</v>
      </c>
      <c r="S35" s="21" t="n">
        <f aca="false">S31+S32+S33</f>
        <v>3809973.6</v>
      </c>
      <c r="T35" s="21" t="n">
        <f aca="false">T31+T32+T33</f>
        <v>4433088.544</v>
      </c>
      <c r="U35" s="21" t="n">
        <f aca="false">U31+U32+U33</f>
        <v>5844815.408</v>
      </c>
      <c r="V35" s="21" t="n">
        <f aca="false">V31+V32+V33</f>
        <v>6839002.704</v>
      </c>
    </row>
    <row r="37" customFormat="false" ht="15" hidden="false" customHeight="false" outlineLevel="0" collapsed="false">
      <c r="B37" s="1" t="s">
        <v>430</v>
      </c>
    </row>
    <row r="38" customFormat="false" ht="15" hidden="false" customHeight="false" outlineLevel="0" collapsed="false">
      <c r="C38" s="2" t="s">
        <v>431</v>
      </c>
      <c r="D38" s="2" t="s">
        <v>432</v>
      </c>
      <c r="E38" s="2" t="s">
        <v>433</v>
      </c>
      <c r="F38" s="2" t="s">
        <v>434</v>
      </c>
      <c r="G38" s="2" t="s">
        <v>435</v>
      </c>
    </row>
    <row r="39" customFormat="false" ht="15" hidden="false" customHeight="false" outlineLevel="0" collapsed="false">
      <c r="B39" s="10" t="s">
        <v>461</v>
      </c>
      <c r="C39" s="6" t="n">
        <f aca="false">'Expansion Pipeline'!C14+'Expansion Pipeline'!D14+'Expansion Pipeline'!E14+'Expansion Pipeline'!F14</f>
        <v>0</v>
      </c>
      <c r="D39" s="6" t="n">
        <f aca="false">'Expansion Pipeline'!G14+'Expansion Pipeline'!H14+'Expansion Pipeline'!I14+'Expansion Pipeline'!J14</f>
        <v>0</v>
      </c>
      <c r="E39" s="6" t="n">
        <f aca="false">'Expansion Pipeline'!K14+'Expansion Pipeline'!L14+'Expansion Pipeline'!M14+'Expansion Pipeline'!N14</f>
        <v>1320000</v>
      </c>
      <c r="F39" s="6" t="n">
        <f aca="false">'Expansion Pipeline'!O14+'Expansion Pipeline'!P14+'Expansion Pipeline'!Q14+'Expansion Pipeline'!R14</f>
        <v>2475000</v>
      </c>
      <c r="G39" s="6" t="n">
        <f aca="false">'Expansion Pipeline'!S14+'Expansion Pipeline'!T14+'Expansion Pipeline'!U14+'Expansion Pipeline'!V14</f>
        <v>3300000</v>
      </c>
    </row>
    <row r="40" customFormat="false" ht="15" hidden="false" customHeight="false" outlineLevel="0" collapsed="false">
      <c r="B40" s="10" t="s">
        <v>462</v>
      </c>
      <c r="C40" s="6" t="n">
        <f aca="false">'Expansion Pipeline'!C17+'Expansion Pipeline'!D17+'Expansion Pipeline'!E17+'Expansion Pipeline'!F17</f>
        <v>0</v>
      </c>
      <c r="D40" s="6" t="n">
        <f aca="false">'Expansion Pipeline'!G17+'Expansion Pipeline'!H17+'Expansion Pipeline'!I17+'Expansion Pipeline'!J17</f>
        <v>0</v>
      </c>
      <c r="E40" s="6" t="n">
        <f aca="false">'Expansion Pipeline'!K17+'Expansion Pipeline'!L17+'Expansion Pipeline'!M17+'Expansion Pipeline'!N17</f>
        <v>1211250</v>
      </c>
      <c r="F40" s="6" t="n">
        <f aca="false">'Expansion Pipeline'!O17+'Expansion Pipeline'!P17+'Expansion Pipeline'!Q17+'Expansion Pipeline'!R17</f>
        <v>4916250</v>
      </c>
      <c r="G40" s="6" t="n">
        <f aca="false">'Expansion Pipeline'!S17+'Expansion Pipeline'!T17+'Expansion Pipeline'!U17+'Expansion Pipeline'!V17</f>
        <v>10046250</v>
      </c>
    </row>
    <row r="41" customFormat="false" ht="15" hidden="false" customHeight="false" outlineLevel="0" collapsed="false">
      <c r="B41" s="10" t="s">
        <v>463</v>
      </c>
      <c r="C41" s="6" t="n">
        <f aca="false">'Expansion Pipeline'!C28+'Expansion Pipeline'!D28+'Expansion Pipeline'!E28+'Expansion Pipeline'!F28</f>
        <v>0</v>
      </c>
      <c r="D41" s="6" t="n">
        <f aca="false">'Expansion Pipeline'!G28+'Expansion Pipeline'!H28+'Expansion Pipeline'!I28+'Expansion Pipeline'!J28</f>
        <v>0</v>
      </c>
      <c r="E41" s="6" t="n">
        <f aca="false">'Expansion Pipeline'!K28+'Expansion Pipeline'!L28+'Expansion Pipeline'!M28+'Expansion Pipeline'!N28</f>
        <v>11520</v>
      </c>
      <c r="F41" s="6" t="n">
        <f aca="false">'Expansion Pipeline'!O28+'Expansion Pipeline'!P28+'Expansion Pipeline'!Q28+'Expansion Pipeline'!R28</f>
        <v>1165927.584</v>
      </c>
      <c r="G41" s="6" t="n">
        <f aca="false">'Expansion Pipeline'!S28+'Expansion Pipeline'!T28+'Expansion Pipeline'!U28+'Expansion Pipeline'!V28</f>
        <v>7580630.256</v>
      </c>
    </row>
    <row r="43" customFormat="false" ht="15" hidden="false" customHeight="false" outlineLevel="0" collapsed="false">
      <c r="B43" s="1" t="s">
        <v>465</v>
      </c>
      <c r="C43" s="21" t="n">
        <f aca="false">C39+C40+C41</f>
        <v>0</v>
      </c>
      <c r="D43" s="21" t="n">
        <f aca="false">D39+D40+D41</f>
        <v>0</v>
      </c>
      <c r="E43" s="21" t="n">
        <f aca="false">E39+E40+E41</f>
        <v>2542770</v>
      </c>
      <c r="F43" s="21" t="n">
        <f aca="false">F39+F40+F41</f>
        <v>8557177.584</v>
      </c>
      <c r="G43" s="21" t="n">
        <f aca="false">G39+G40+G41</f>
        <v>20926880.256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0066"/>
    <pageSetUpPr fitToPage="false"/>
  </sheetPr>
  <dimension ref="B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20" t="s">
        <v>466</v>
      </c>
    </row>
    <row r="3" customFormat="false" ht="15" hidden="false" customHeight="false" outlineLevel="0" collapsed="false">
      <c r="C3" s="2" t="s">
        <v>431</v>
      </c>
      <c r="D3" s="2" t="s">
        <v>432</v>
      </c>
      <c r="E3" s="2" t="s">
        <v>433</v>
      </c>
      <c r="F3" s="2" t="s">
        <v>434</v>
      </c>
      <c r="G3" s="2" t="s">
        <v>435</v>
      </c>
    </row>
    <row r="4" customFormat="false" ht="15" hidden="false" customHeight="false" outlineLevel="0" collapsed="false">
      <c r="B4" s="1" t="s">
        <v>467</v>
      </c>
    </row>
    <row r="5" customFormat="false" ht="15" hidden="false" customHeight="false" outlineLevel="0" collapsed="false">
      <c r="B5" s="10" t="s">
        <v>468</v>
      </c>
      <c r="C5" s="6" t="n">
        <f aca="false">'Anchor Revenue'!C136</f>
        <v>2846520</v>
      </c>
      <c r="D5" s="6" t="n">
        <f aca="false">'Anchor Revenue'!D136</f>
        <v>3449804.013</v>
      </c>
      <c r="E5" s="6" t="n">
        <f aca="false">'Anchor Revenue'!E136</f>
        <v>4766715.13483333</v>
      </c>
      <c r="F5" s="6" t="n">
        <f aca="false">'Anchor Revenue'!F136</f>
        <v>6889582.7095</v>
      </c>
      <c r="G5" s="6" t="n">
        <f aca="false">'Anchor Revenue'!G136</f>
        <v>8561420.26</v>
      </c>
    </row>
    <row r="6" customFormat="false" ht="15" hidden="false" customHeight="false" outlineLevel="0" collapsed="false">
      <c r="B6" s="24" t="s">
        <v>469</v>
      </c>
      <c r="C6" s="25" t="n">
        <f aca="false">'Anchor Revenue'!C129+'Anchor Revenue'!C130</f>
        <v>738750</v>
      </c>
      <c r="D6" s="25" t="n">
        <f aca="false">'Anchor Revenue'!D129+'Anchor Revenue'!D130</f>
        <v>1511250</v>
      </c>
      <c r="E6" s="25" t="n">
        <f aca="false">'Anchor Revenue'!E129+'Anchor Revenue'!E130</f>
        <v>488750</v>
      </c>
      <c r="F6" s="25" t="n">
        <f aca="false">'Anchor Revenue'!F129+'Anchor Revenue'!F130</f>
        <v>0</v>
      </c>
      <c r="G6" s="25" t="n">
        <f aca="false">'Anchor Revenue'!G129+'Anchor Revenue'!G130</f>
        <v>0</v>
      </c>
    </row>
    <row r="7" customFormat="false" ht="15" hidden="false" customHeight="false" outlineLevel="0" collapsed="false">
      <c r="B7" s="10" t="s">
        <v>470</v>
      </c>
      <c r="C7" s="6" t="n">
        <f aca="false">'Expansion Pipeline'!C43</f>
        <v>0</v>
      </c>
      <c r="D7" s="6" t="n">
        <f aca="false">'Expansion Pipeline'!D43</f>
        <v>0</v>
      </c>
      <c r="E7" s="6" t="n">
        <f aca="false">'Expansion Pipeline'!E43</f>
        <v>2542770</v>
      </c>
      <c r="F7" s="6" t="n">
        <f aca="false">'Expansion Pipeline'!F43</f>
        <v>8557177.584</v>
      </c>
      <c r="G7" s="6" t="n">
        <f aca="false">'Expansion Pipeline'!G43</f>
        <v>20926880.256</v>
      </c>
    </row>
    <row r="9" customFormat="false" ht="15" hidden="false" customHeight="false" outlineLevel="0" collapsed="false">
      <c r="B9" s="1" t="s">
        <v>471</v>
      </c>
      <c r="C9" s="21" t="n">
        <f aca="false">C5+C6</f>
        <v>3585270</v>
      </c>
      <c r="D9" s="21" t="n">
        <f aca="false">D5+D6</f>
        <v>4961054.013</v>
      </c>
      <c r="E9" s="21" t="n">
        <f aca="false">E5+E6</f>
        <v>5255465.13483333</v>
      </c>
      <c r="F9" s="21" t="n">
        <f aca="false">F5+F6</f>
        <v>6889582.7095</v>
      </c>
      <c r="G9" s="21" t="n">
        <f aca="false">G5+G6</f>
        <v>8561420.26</v>
      </c>
    </row>
    <row r="10" customFormat="false" ht="15" hidden="false" customHeight="false" outlineLevel="0" collapsed="false">
      <c r="B10" s="1" t="s">
        <v>472</v>
      </c>
      <c r="C10" s="21" t="n">
        <f aca="false">C5+C7</f>
        <v>2846520</v>
      </c>
      <c r="D10" s="21" t="n">
        <f aca="false">D5+D7</f>
        <v>3449804.013</v>
      </c>
      <c r="E10" s="21" t="n">
        <f aca="false">E5+E7</f>
        <v>7309485.13483333</v>
      </c>
      <c r="F10" s="21" t="n">
        <f aca="false">F5+F7</f>
        <v>15446760.2935</v>
      </c>
      <c r="G10" s="21" t="n">
        <f aca="false">G5+G7</f>
        <v>29488300.516</v>
      </c>
    </row>
    <row r="11" customFormat="false" ht="15" hidden="false" customHeight="false" outlineLevel="0" collapsed="false">
      <c r="B11" s="1" t="s">
        <v>473</v>
      </c>
      <c r="C11" s="21" t="n">
        <f aca="false">C9+C7</f>
        <v>3585270</v>
      </c>
      <c r="D11" s="21" t="n">
        <f aca="false">D9+D7</f>
        <v>4961054.013</v>
      </c>
      <c r="E11" s="21" t="n">
        <f aca="false">E9+E7</f>
        <v>7798235.13483333</v>
      </c>
      <c r="F11" s="21" t="n">
        <f aca="false">F9+F7</f>
        <v>15446760.2935</v>
      </c>
      <c r="G11" s="21" t="n">
        <f aca="false">G9+G7</f>
        <v>29488300.516</v>
      </c>
    </row>
    <row r="13" customFormat="false" ht="15" hidden="false" customHeight="false" outlineLevel="0" collapsed="false">
      <c r="B13" s="1" t="s">
        <v>444</v>
      </c>
      <c r="C13" s="21" t="n">
        <f aca="false">C10</f>
        <v>2846520</v>
      </c>
      <c r="D13" s="21" t="n">
        <f aca="false">C13+D10</f>
        <v>6296324.013</v>
      </c>
      <c r="E13" s="21" t="n">
        <f aca="false">D13+E10</f>
        <v>13605809.1478333</v>
      </c>
      <c r="F13" s="21" t="n">
        <f aca="false">E13+F10</f>
        <v>29052569.4413333</v>
      </c>
      <c r="G13" s="21" t="n">
        <f aca="false">F13+G10</f>
        <v>58540869.9573333</v>
      </c>
    </row>
    <row r="15" customFormat="false" ht="15" hidden="false" customHeight="false" outlineLevel="0" collapsed="false">
      <c r="B15" s="1" t="s">
        <v>474</v>
      </c>
    </row>
    <row r="17" customFormat="false" ht="15" hidden="false" customHeight="false" outlineLevel="0" collapsed="false">
      <c r="B17" s="10" t="s">
        <v>475</v>
      </c>
      <c r="C17" s="8" t="n">
        <f aca="false">'Anchor Revenue'!F7+'Anchor Revenue'!F8+'Anchor Revenue'!F9+'Anchor Revenue'!F10+'Anchor Revenue'!F11</f>
        <v>3</v>
      </c>
      <c r="D17" s="8" t="n">
        <f aca="false">'Anchor Revenue'!J7+'Anchor Revenue'!J8+'Anchor Revenue'!J9+'Anchor Revenue'!J10+'Anchor Revenue'!J11</f>
        <v>20</v>
      </c>
      <c r="E17" s="8" t="n">
        <f aca="false">'Anchor Revenue'!N7+'Anchor Revenue'!N8+'Anchor Revenue'!N9+'Anchor Revenue'!N10+'Anchor Revenue'!N11</f>
        <v>20</v>
      </c>
      <c r="F17" s="8" t="n">
        <f aca="false">'Anchor Revenue'!R7+'Anchor Revenue'!R8+'Anchor Revenue'!R9+'Anchor Revenue'!R10+'Anchor Revenue'!R11</f>
        <v>20</v>
      </c>
      <c r="G17" s="8" t="n">
        <f aca="false">'Anchor Revenue'!V7+'Anchor Revenue'!V8+'Anchor Revenue'!V9+'Anchor Revenue'!V10+'Anchor Revenue'!V11</f>
        <v>20</v>
      </c>
    </row>
    <row r="18" customFormat="false" ht="15" hidden="false" customHeight="false" outlineLevel="0" collapsed="false">
      <c r="B18" s="10" t="s">
        <v>476</v>
      </c>
      <c r="C18" s="8" t="n">
        <f aca="false">'Expansion Pipeline'!F11</f>
        <v>0</v>
      </c>
      <c r="D18" s="8" t="n">
        <f aca="false">'Expansion Pipeline'!J11</f>
        <v>0</v>
      </c>
      <c r="E18" s="8" t="n">
        <f aca="false">'Expansion Pipeline'!N11</f>
        <v>3</v>
      </c>
      <c r="F18" s="8" t="n">
        <f aca="false">'Expansion Pipeline'!R11</f>
        <v>36</v>
      </c>
      <c r="G18" s="8" t="n">
        <f aca="false">'Expansion Pipeline'!V11</f>
        <v>84</v>
      </c>
    </row>
    <row r="19" customFormat="false" ht="15" hidden="false" customHeight="false" outlineLevel="0" collapsed="false">
      <c r="B19" s="1" t="s">
        <v>477</v>
      </c>
      <c r="C19" s="11" t="n">
        <f aca="false">C17+C18</f>
        <v>3</v>
      </c>
      <c r="D19" s="11" t="n">
        <f aca="false">D17+D18</f>
        <v>20</v>
      </c>
      <c r="E19" s="11" t="n">
        <f aca="false">E17+E18</f>
        <v>23</v>
      </c>
      <c r="F19" s="11" t="n">
        <f aca="false">F17+F18</f>
        <v>56</v>
      </c>
      <c r="G19" s="11" t="n">
        <f aca="false">G17+G18</f>
        <v>104</v>
      </c>
    </row>
    <row r="21" customFormat="false" ht="15" hidden="false" customHeight="false" outlineLevel="0" collapsed="false">
      <c r="B21" s="10" t="s">
        <v>478</v>
      </c>
      <c r="C21" s="6" t="n">
        <f aca="false">IF(C19=0,0,C10/C19)</f>
        <v>948840</v>
      </c>
      <c r="D21" s="6" t="n">
        <f aca="false">IF(D19=0,0,D10/D19)</f>
        <v>172490.20065</v>
      </c>
      <c r="E21" s="6" t="n">
        <f aca="false">IF(E19=0,0,E10/E19)</f>
        <v>317803.701514493</v>
      </c>
      <c r="F21" s="6" t="n">
        <f aca="false">IF(F19=0,0,F10/F19)</f>
        <v>275835.005241071</v>
      </c>
      <c r="G21" s="6" t="n">
        <f aca="false">IF(G19=0,0,G10/G19)</f>
        <v>283541.351115385</v>
      </c>
    </row>
    <row r="23" customFormat="false" ht="15" hidden="false" customHeight="false" outlineLevel="0" collapsed="false">
      <c r="B23" s="1" t="s">
        <v>479</v>
      </c>
    </row>
    <row r="24" customFormat="false" ht="15" hidden="false" customHeight="false" outlineLevel="0" collapsed="false">
      <c r="B24" s="10" t="s">
        <v>436</v>
      </c>
      <c r="C24" s="6" t="n">
        <f aca="false">'Anchor Revenue'!C128</f>
        <v>2835000</v>
      </c>
      <c r="D24" s="6" t="n">
        <f aca="false">'Anchor Revenue'!D128</f>
        <v>2940000</v>
      </c>
      <c r="E24" s="6" t="n">
        <f aca="false">'Anchor Revenue'!E128</f>
        <v>1225000</v>
      </c>
      <c r="F24" s="6" t="n">
        <f aca="false">'Anchor Revenue'!F128</f>
        <v>0</v>
      </c>
      <c r="G24" s="6" t="n">
        <f aca="false">'Anchor Revenue'!G128</f>
        <v>0</v>
      </c>
    </row>
    <row r="25" customFormat="false" ht="15" hidden="false" customHeight="false" outlineLevel="0" collapsed="false">
      <c r="B25" s="10" t="s">
        <v>422</v>
      </c>
      <c r="C25" s="6" t="n">
        <f aca="false">'Anchor Revenue'!C129</f>
        <v>675000</v>
      </c>
      <c r="D25" s="6" t="n">
        <f aca="false">'Anchor Revenue'!D129</f>
        <v>300000</v>
      </c>
      <c r="E25" s="6" t="n">
        <f aca="false">'Anchor Revenue'!E129</f>
        <v>0</v>
      </c>
      <c r="F25" s="6" t="n">
        <f aca="false">'Anchor Revenue'!F129</f>
        <v>0</v>
      </c>
      <c r="G25" s="6" t="n">
        <f aca="false">'Anchor Revenue'!G129</f>
        <v>0</v>
      </c>
    </row>
    <row r="26" customFormat="false" ht="15" hidden="false" customHeight="false" outlineLevel="0" collapsed="false">
      <c r="B26" s="10" t="s">
        <v>437</v>
      </c>
      <c r="C26" s="6" t="n">
        <f aca="false">'Anchor Revenue'!C130</f>
        <v>63750</v>
      </c>
      <c r="D26" s="6" t="n">
        <f aca="false">'Anchor Revenue'!D130</f>
        <v>1211250</v>
      </c>
      <c r="E26" s="6" t="n">
        <f aca="false">'Anchor Revenue'!E130</f>
        <v>488750</v>
      </c>
      <c r="F26" s="6" t="n">
        <f aca="false">'Anchor Revenue'!F130</f>
        <v>0</v>
      </c>
      <c r="G26" s="6" t="n">
        <f aca="false">'Anchor Revenue'!G130</f>
        <v>0</v>
      </c>
    </row>
    <row r="27" customFormat="false" ht="15" hidden="false" customHeight="false" outlineLevel="0" collapsed="false">
      <c r="B27" s="10" t="s">
        <v>438</v>
      </c>
      <c r="C27" s="6" t="n">
        <f aca="false">'Anchor Revenue'!C131</f>
        <v>0</v>
      </c>
      <c r="D27" s="6" t="n">
        <f aca="false">'Anchor Revenue'!D131</f>
        <v>0</v>
      </c>
      <c r="E27" s="6" t="n">
        <f aca="false">'Anchor Revenue'!E131</f>
        <v>1211250</v>
      </c>
      <c r="F27" s="6" t="n">
        <f aca="false">'Anchor Revenue'!F131</f>
        <v>1700000</v>
      </c>
      <c r="G27" s="6" t="n">
        <f aca="false">'Anchor Revenue'!G131</f>
        <v>1700000</v>
      </c>
    </row>
    <row r="28" customFormat="false" ht="15" hidden="false" customHeight="false" outlineLevel="0" collapsed="false">
      <c r="B28" s="10" t="s">
        <v>439</v>
      </c>
      <c r="C28" s="6" t="n">
        <f aca="false">'Anchor Revenue'!C132</f>
        <v>0</v>
      </c>
      <c r="D28" s="6" t="n">
        <f aca="false">'Anchor Revenue'!D132</f>
        <v>168740.013</v>
      </c>
      <c r="E28" s="6" t="n">
        <f aca="false">'Anchor Revenue'!E132</f>
        <v>1375589.13483333</v>
      </c>
      <c r="F28" s="6" t="n">
        <f aca="false">'Anchor Revenue'!F132</f>
        <v>3792842.7095</v>
      </c>
      <c r="G28" s="6" t="n">
        <f aca="false">'Anchor Revenue'!G132</f>
        <v>5373420.26</v>
      </c>
    </row>
    <row r="29" customFormat="false" ht="15" hidden="false" customHeight="false" outlineLevel="0" collapsed="false">
      <c r="B29" s="10" t="s">
        <v>440</v>
      </c>
      <c r="C29" s="6" t="n">
        <f aca="false">'Anchor Revenue'!C133</f>
        <v>11520</v>
      </c>
      <c r="D29" s="6" t="n">
        <f aca="false">'Anchor Revenue'!D133</f>
        <v>307584</v>
      </c>
      <c r="E29" s="6" t="n">
        <f aca="false">'Anchor Revenue'!E133</f>
        <v>679296</v>
      </c>
      <c r="F29" s="6" t="n">
        <f aca="false">'Anchor Revenue'!F133</f>
        <v>768000</v>
      </c>
      <c r="G29" s="6" t="n">
        <f aca="false">'Anchor Revenue'!G133</f>
        <v>768000</v>
      </c>
    </row>
    <row r="30" customFormat="false" ht="15" hidden="false" customHeight="false" outlineLevel="0" collapsed="false">
      <c r="B30" s="10" t="s">
        <v>441</v>
      </c>
      <c r="C30" s="6" t="n">
        <f aca="false">'Anchor Revenue'!C134</f>
        <v>0</v>
      </c>
      <c r="D30" s="6" t="n">
        <f aca="false">'Anchor Revenue'!D134</f>
        <v>33480</v>
      </c>
      <c r="E30" s="6" t="n">
        <f aca="false">'Anchor Revenue'!E134</f>
        <v>275580</v>
      </c>
      <c r="F30" s="6" t="n">
        <f aca="false">'Anchor Revenue'!F134</f>
        <v>628740</v>
      </c>
      <c r="G30" s="6" t="n">
        <f aca="false">'Anchor Revenue'!G134</f>
        <v>720000</v>
      </c>
    </row>
    <row r="32" customFormat="false" ht="15" hidden="false" customHeight="false" outlineLevel="0" collapsed="false">
      <c r="B32" s="1" t="s">
        <v>480</v>
      </c>
    </row>
    <row r="33" customFormat="false" ht="15" hidden="false" customHeight="false" outlineLevel="0" collapsed="false">
      <c r="B33" s="10" t="s">
        <v>461</v>
      </c>
      <c r="C33" s="6" t="n">
        <f aca="false">'Expansion Pipeline'!C39</f>
        <v>0</v>
      </c>
      <c r="D33" s="6" t="n">
        <f aca="false">'Expansion Pipeline'!D39</f>
        <v>0</v>
      </c>
      <c r="E33" s="6" t="n">
        <f aca="false">'Expansion Pipeline'!E39</f>
        <v>1320000</v>
      </c>
      <c r="F33" s="6" t="n">
        <f aca="false">'Expansion Pipeline'!F39</f>
        <v>2475000</v>
      </c>
      <c r="G33" s="6" t="n">
        <f aca="false">'Expansion Pipeline'!G39</f>
        <v>3300000</v>
      </c>
    </row>
    <row r="34" customFormat="false" ht="15" hidden="false" customHeight="false" outlineLevel="0" collapsed="false">
      <c r="B34" s="10" t="s">
        <v>481</v>
      </c>
      <c r="C34" s="6" t="n">
        <f aca="false">'Expansion Pipeline'!C40</f>
        <v>0</v>
      </c>
      <c r="D34" s="6" t="n">
        <f aca="false">'Expansion Pipeline'!D40</f>
        <v>0</v>
      </c>
      <c r="E34" s="6" t="n">
        <f aca="false">'Expansion Pipeline'!E40</f>
        <v>1211250</v>
      </c>
      <c r="F34" s="6" t="n">
        <f aca="false">'Expansion Pipeline'!F40</f>
        <v>4916250</v>
      </c>
      <c r="G34" s="6" t="n">
        <f aca="false">'Expansion Pipeline'!G40</f>
        <v>10046250</v>
      </c>
    </row>
    <row r="35" customFormat="false" ht="15" hidden="false" customHeight="false" outlineLevel="0" collapsed="false">
      <c r="B35" s="10" t="s">
        <v>482</v>
      </c>
      <c r="C35" s="6" t="n">
        <f aca="false">'Expansion Pipeline'!C41</f>
        <v>0</v>
      </c>
      <c r="D35" s="6" t="n">
        <f aca="false">'Expansion Pipeline'!D41</f>
        <v>0</v>
      </c>
      <c r="E35" s="6" t="n">
        <f aca="false">'Expansion Pipeline'!E41</f>
        <v>11520</v>
      </c>
      <c r="F35" s="6" t="n">
        <f aca="false">'Expansion Pipeline'!F41</f>
        <v>1165927.584</v>
      </c>
      <c r="G35" s="6" t="n">
        <f aca="false">'Expansion Pipeline'!G41</f>
        <v>7580630.256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B1:V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22" min="3" style="0" width="14"/>
  </cols>
  <sheetData>
    <row r="1" customFormat="false" ht="17.35" hidden="false" customHeight="false" outlineLevel="0" collapsed="false">
      <c r="B1" s="20" t="s">
        <v>483</v>
      </c>
    </row>
    <row r="3" customFormat="false" ht="15" hidden="false" customHeight="false" outlineLevel="0" collapsed="false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</row>
    <row r="4" customFormat="false" ht="15" hidden="false" customHeight="false" outlineLevel="0" collapsed="false"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</row>
    <row r="6" customFormat="false" ht="15" hidden="false" customHeight="false" outlineLevel="0" collapsed="false">
      <c r="B6" s="1" t="s">
        <v>484</v>
      </c>
    </row>
    <row r="7" customFormat="false" ht="15" hidden="false" customHeight="false" outlineLevel="0" collapsed="false">
      <c r="B7" s="1" t="s">
        <v>485</v>
      </c>
    </row>
    <row r="8" customFormat="false" ht="15" hidden="false" customHeight="false" outlineLevel="0" collapsed="false">
      <c r="B8" s="10" t="s">
        <v>401</v>
      </c>
      <c r="C8" s="6" t="n">
        <f aca="false">IF(Assumptions!C$30=0,0,IF(0=0,Assumptions!$C$117+(Assumptions!C$30-1)*Assumptions!$C$122,Assumptions!C$30*Assumptions!$C$122))</f>
        <v>0</v>
      </c>
      <c r="D8" s="6" t="n">
        <f aca="false">IF(Assumptions!D$30=0,0,IF(SUM(Assumptions!$C$30:C$30)=0,Assumptions!$C$117+(Assumptions!D$30-1)*Assumptions!$C$122,Assumptions!D$30*Assumptions!$C$122))</f>
        <v>0</v>
      </c>
      <c r="E8" s="6" t="n">
        <f aca="false">IF(Assumptions!E$30=0,0,IF(SUM(Assumptions!$C$30:D$30)=0,Assumptions!$C$117+(Assumptions!E$30-1)*Assumptions!$C$122,Assumptions!E$30*Assumptions!$C$122))</f>
        <v>0</v>
      </c>
      <c r="F8" s="6" t="n">
        <f aca="false">IF(Assumptions!F$30=0,0,IF(SUM(Assumptions!$C$30:E$30)=0,Assumptions!$C$117+(Assumptions!F$30-1)*Assumptions!$C$122,Assumptions!F$30*Assumptions!$C$122))</f>
        <v>142600</v>
      </c>
      <c r="G8" s="6" t="n">
        <f aca="false">IF(Assumptions!G$30=0,0,IF(SUM(Assumptions!$C$30:F$30)=0,Assumptions!$C$117+(Assumptions!G$30-1)*Assumptions!$C$122,Assumptions!G$30*Assumptions!$C$122))</f>
        <v>120900</v>
      </c>
      <c r="H8" s="6" t="n">
        <f aca="false">IF(Assumptions!H$30=0,0,IF(SUM(Assumptions!$C$30:G$30)=0,Assumptions!$C$117+(Assumptions!H$30-1)*Assumptions!$C$122,Assumptions!H$30*Assumptions!$C$122))</f>
        <v>0</v>
      </c>
      <c r="I8" s="6" t="n">
        <f aca="false">IF(Assumptions!I$30=0,0,IF(SUM(Assumptions!$C$30:H$30)=0,Assumptions!$C$117+(Assumptions!I$30-1)*Assumptions!$C$122,Assumptions!I$30*Assumptions!$C$122))</f>
        <v>0</v>
      </c>
      <c r="J8" s="6" t="n">
        <f aca="false">IF(Assumptions!J$30=0,0,IF(SUM(Assumptions!$C$30:I$30)=0,Assumptions!$C$117+(Assumptions!J$30-1)*Assumptions!$C$122,Assumptions!J$30*Assumptions!$C$122))</f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</row>
    <row r="9" customFormat="false" ht="15" hidden="false" customHeight="false" outlineLevel="0" collapsed="false">
      <c r="B9" s="10" t="s">
        <v>402</v>
      </c>
      <c r="C9" s="6" t="n">
        <f aca="false">IF(Assumptions!C$31=0,0,IF(0=0,Assumptions!$C$117+(Assumptions!C$31-1)*Assumptions!$C$122,Assumptions!C$31*Assumptions!$C$122))</f>
        <v>0</v>
      </c>
      <c r="D9" s="6" t="n">
        <f aca="false">IF(Assumptions!D$31=0,0,IF(SUM(Assumptions!$C$31:C$31)=0,Assumptions!$C$117+(Assumptions!D$31-1)*Assumptions!$C$122,Assumptions!D$31*Assumptions!$C$122))</f>
        <v>0</v>
      </c>
      <c r="E9" s="6" t="n">
        <f aca="false">IF(Assumptions!E$31=0,0,IF(SUM(Assumptions!$C$31:D$31)=0,Assumptions!$C$117+(Assumptions!E$31-1)*Assumptions!$C$122,Assumptions!E$31*Assumptions!$C$122))</f>
        <v>0</v>
      </c>
      <c r="F9" s="6" t="n">
        <f aca="false">IF(Assumptions!F$31=0,0,IF(SUM(Assumptions!$C$31:E$31)=0,Assumptions!$C$117+(Assumptions!F$31-1)*Assumptions!$C$122,Assumptions!F$31*Assumptions!$C$122))</f>
        <v>0</v>
      </c>
      <c r="G9" s="6" t="n">
        <f aca="false">IF(Assumptions!G$31=0,0,IF(SUM(Assumptions!$C$31:F$31)=0,Assumptions!$C$117+(Assumptions!G$31-1)*Assumptions!$C$122,Assumptions!G$31*Assumptions!$C$122))</f>
        <v>102300</v>
      </c>
      <c r="H9" s="6" t="n">
        <f aca="false">IF(Assumptions!H$31=0,0,IF(SUM(Assumptions!$C$31:G$31)=0,Assumptions!$C$117+(Assumptions!H$31-1)*Assumptions!$C$122,Assumptions!H$31*Assumptions!$C$122))</f>
        <v>80600</v>
      </c>
      <c r="I9" s="6" t="n">
        <f aca="false">IF(Assumptions!I$31=0,0,IF(SUM(Assumptions!$C$31:H$31)=0,Assumptions!$C$117+(Assumptions!I$31-1)*Assumptions!$C$122,Assumptions!I$31*Assumptions!$C$122))</f>
        <v>0</v>
      </c>
      <c r="J9" s="6" t="n">
        <f aca="false">IF(Assumptions!J$31=0,0,IF(SUM(Assumptions!$C$31:I$31)=0,Assumptions!$C$117+(Assumptions!J$31-1)*Assumptions!$C$122,Assumptions!J$31*Assumptions!$C$122))</f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</row>
    <row r="10" customFormat="false" ht="15" hidden="false" customHeight="false" outlineLevel="0" collapsed="false">
      <c r="B10" s="10" t="s">
        <v>403</v>
      </c>
      <c r="C10" s="6" t="n">
        <f aca="false">IF(Assumptions!C$32=0,0,IF(0=0,Assumptions!$C$117+(Assumptions!C$32-1)*Assumptions!$C$122,Assumptions!C$32*Assumptions!$C$122))</f>
        <v>0</v>
      </c>
      <c r="D10" s="6" t="n">
        <f aca="false">IF(Assumptions!D$32=0,0,IF(SUM(Assumptions!$C$32:C$32)=0,Assumptions!$C$117+(Assumptions!D$32-1)*Assumptions!$C$122,Assumptions!D$32*Assumptions!$C$122))</f>
        <v>0</v>
      </c>
      <c r="E10" s="6" t="n">
        <f aca="false">IF(Assumptions!E$32=0,0,IF(SUM(Assumptions!$C$32:D$32)=0,Assumptions!$C$117+(Assumptions!E$32-1)*Assumptions!$C$122,Assumptions!E$32*Assumptions!$C$122))</f>
        <v>0</v>
      </c>
      <c r="F10" s="6" t="n">
        <f aca="false">IF(Assumptions!F$32=0,0,IF(SUM(Assumptions!$C$32:E$32)=0,Assumptions!$C$117+(Assumptions!F$32-1)*Assumptions!$C$122,Assumptions!F$32*Assumptions!$C$122))</f>
        <v>0</v>
      </c>
      <c r="G10" s="6" t="n">
        <f aca="false">IF(Assumptions!G$32=0,0,IF(SUM(Assumptions!$C$32:F$32)=0,Assumptions!$C$117+(Assumptions!G$32-1)*Assumptions!$C$122,Assumptions!G$32*Assumptions!$C$122))</f>
        <v>0</v>
      </c>
      <c r="H10" s="6" t="n">
        <f aca="false">IF(Assumptions!H$32=0,0,IF(SUM(Assumptions!$C$32:G$32)=0,Assumptions!$C$117+(Assumptions!H$32-1)*Assumptions!$C$122,Assumptions!H$32*Assumptions!$C$122))</f>
        <v>102300</v>
      </c>
      <c r="I10" s="6" t="n">
        <f aca="false">IF(Assumptions!I$32=0,0,IF(SUM(Assumptions!$C$32:H$32)=0,Assumptions!$C$117+(Assumptions!I$32-1)*Assumptions!$C$122,Assumptions!I$32*Assumptions!$C$122))</f>
        <v>120900</v>
      </c>
      <c r="J10" s="6" t="n">
        <f aca="false">IF(Assumptions!J$32=0,0,IF(SUM(Assumptions!$C$32:I$32)=0,Assumptions!$C$117+(Assumptions!J$32-1)*Assumptions!$C$122,Assumptions!J$32*Assumptions!$C$122))</f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</row>
    <row r="11" customFormat="false" ht="15" hidden="false" customHeight="false" outlineLevel="0" collapsed="false">
      <c r="B11" s="10" t="s">
        <v>404</v>
      </c>
      <c r="C11" s="6" t="n">
        <f aca="false">IF(Assumptions!C$33=0,0,IF(0=0,Assumptions!$C$117+(Assumptions!C$33-1)*Assumptions!$C$122,Assumptions!C$33*Assumptions!$C$122))</f>
        <v>0</v>
      </c>
      <c r="D11" s="6" t="n">
        <f aca="false">IF(Assumptions!D$33=0,0,IF(SUM(Assumptions!$C$33:C$33)=0,Assumptions!$C$117+(Assumptions!D$33-1)*Assumptions!$C$122,Assumptions!D$33*Assumptions!$C$122))</f>
        <v>0</v>
      </c>
      <c r="E11" s="6" t="n">
        <f aca="false">IF(Assumptions!E$33=0,0,IF(SUM(Assumptions!$C$33:D$33)=0,Assumptions!$C$117+(Assumptions!E$33-1)*Assumptions!$C$122,Assumptions!E$33*Assumptions!$C$122))</f>
        <v>0</v>
      </c>
      <c r="F11" s="6" t="n">
        <f aca="false">IF(Assumptions!F$33=0,0,IF(SUM(Assumptions!$C$33:E$33)=0,Assumptions!$C$117+(Assumptions!F$33-1)*Assumptions!$C$122,Assumptions!F$33*Assumptions!$C$122))</f>
        <v>0</v>
      </c>
      <c r="G11" s="6" t="n">
        <f aca="false">IF(Assumptions!G$33=0,0,IF(SUM(Assumptions!$C$33:F$33)=0,Assumptions!$C$117+(Assumptions!G$33-1)*Assumptions!$C$122,Assumptions!G$33*Assumptions!$C$122))</f>
        <v>0</v>
      </c>
      <c r="H11" s="6" t="n">
        <f aca="false">IF(Assumptions!H$33=0,0,IF(SUM(Assumptions!$C$33:G$33)=0,Assumptions!$C$117+(Assumptions!H$33-1)*Assumptions!$C$122,Assumptions!H$33*Assumptions!$C$122))</f>
        <v>0</v>
      </c>
      <c r="I11" s="6" t="n">
        <f aca="false">IF(Assumptions!I$33=0,0,IF(SUM(Assumptions!$C$33:H$33)=0,Assumptions!$C$117+(Assumptions!I$33-1)*Assumptions!$C$122,Assumptions!I$33*Assumptions!$C$122))</f>
        <v>102300</v>
      </c>
      <c r="J11" s="6" t="n">
        <f aca="false">IF(Assumptions!J$33=0,0,IF(SUM(Assumptions!$C$33:I$33)=0,Assumptions!$C$117+(Assumptions!J$33-1)*Assumptions!$C$122,Assumptions!J$33*Assumptions!$C$122))</f>
        <v>40300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</row>
    <row r="12" customFormat="false" ht="15" hidden="false" customHeight="false" outlineLevel="0" collapsed="false">
      <c r="B12" s="10" t="s">
        <v>405</v>
      </c>
      <c r="C12" s="6" t="n">
        <f aca="false">IF(Assumptions!C$34=0,0,IF(0=0,Assumptions!$C$117+(Assumptions!C$34-1)*Assumptions!$C$122,Assumptions!C$34*Assumptions!$C$122))</f>
        <v>0</v>
      </c>
      <c r="D12" s="6" t="n">
        <f aca="false">IF(Assumptions!D$34=0,0,IF(SUM(Assumptions!$C$34:C$34)=0,Assumptions!$C$117+(Assumptions!D$34-1)*Assumptions!$C$122,Assumptions!D$34*Assumptions!$C$122))</f>
        <v>0</v>
      </c>
      <c r="E12" s="6" t="n">
        <f aca="false">IF(Assumptions!E$34=0,0,IF(SUM(Assumptions!$C$34:D$34)=0,Assumptions!$C$117+(Assumptions!E$34-1)*Assumptions!$C$122,Assumptions!E$34*Assumptions!$C$122))</f>
        <v>0</v>
      </c>
      <c r="F12" s="6" t="n">
        <f aca="false">IF(Assumptions!F$34=0,0,IF(SUM(Assumptions!$C$34:E$34)=0,Assumptions!$C$117+(Assumptions!F$34-1)*Assumptions!$C$122,Assumptions!F$34*Assumptions!$C$122))</f>
        <v>0</v>
      </c>
      <c r="G12" s="6" t="n">
        <f aca="false">IF(Assumptions!G$34=0,0,IF(SUM(Assumptions!$C$34:F$34)=0,Assumptions!$C$117+(Assumptions!G$34-1)*Assumptions!$C$122,Assumptions!G$34*Assumptions!$C$122))</f>
        <v>0</v>
      </c>
      <c r="H12" s="6" t="n">
        <f aca="false">IF(Assumptions!H$34=0,0,IF(SUM(Assumptions!$C$34:G$34)=0,Assumptions!$C$117+(Assumptions!H$34-1)*Assumptions!$C$122,Assumptions!H$34*Assumptions!$C$122))</f>
        <v>0</v>
      </c>
      <c r="I12" s="6" t="n">
        <f aca="false">IF(Assumptions!I$34=0,0,IF(SUM(Assumptions!$C$34:H$34)=0,Assumptions!$C$117+(Assumptions!I$34-1)*Assumptions!$C$122,Assumptions!I$34*Assumptions!$C$122))</f>
        <v>0</v>
      </c>
      <c r="J12" s="6" t="n">
        <f aca="false">IF(Assumptions!J$34=0,0,IF(SUM(Assumptions!$C$34:I$34)=0,Assumptions!$C$117+(Assumptions!J$34-1)*Assumptions!$C$122,Assumptions!J$34*Assumptions!$C$122))</f>
        <v>102300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</row>
    <row r="14" customFormat="false" ht="15" hidden="false" customHeight="false" outlineLevel="0" collapsed="false">
      <c r="B14" s="1" t="s">
        <v>486</v>
      </c>
      <c r="C14" s="21" t="n">
        <f aca="false">C8+C9+C10+C11+C12</f>
        <v>0</v>
      </c>
      <c r="D14" s="21" t="n">
        <f aca="false">D8+D9+D10+D11+D12</f>
        <v>0</v>
      </c>
      <c r="E14" s="21" t="n">
        <f aca="false">E8+E9+E10+E11+E12</f>
        <v>0</v>
      </c>
      <c r="F14" s="21" t="n">
        <f aca="false">F8+F9+F10+F11+F12</f>
        <v>142600</v>
      </c>
      <c r="G14" s="21" t="n">
        <f aca="false">G8+G9+G10+G11+G12</f>
        <v>223200</v>
      </c>
      <c r="H14" s="21" t="n">
        <f aca="false">H8+H9+H10+H11+H12</f>
        <v>182900</v>
      </c>
      <c r="I14" s="21" t="n">
        <f aca="false">I8+I9+I10+I11+I12</f>
        <v>223200</v>
      </c>
      <c r="J14" s="21" t="n">
        <f aca="false">J8+J9+J10+J11+J12</f>
        <v>142600</v>
      </c>
      <c r="K14" s="21" t="n">
        <f aca="false">K8+K9+K10+K11+K12</f>
        <v>0</v>
      </c>
      <c r="L14" s="21" t="n">
        <f aca="false">L8+L9+L10+L11+L12</f>
        <v>0</v>
      </c>
      <c r="M14" s="21" t="n">
        <f aca="false">M8+M9+M10+M11+M12</f>
        <v>0</v>
      </c>
      <c r="N14" s="21" t="n">
        <f aca="false">N8+N9+N10+N11+N12</f>
        <v>0</v>
      </c>
      <c r="O14" s="21" t="n">
        <f aca="false">O8+O9+O10+O11+O12</f>
        <v>0</v>
      </c>
      <c r="P14" s="21" t="n">
        <f aca="false">P8+P9+P10+P11+P12</f>
        <v>0</v>
      </c>
      <c r="Q14" s="21" t="n">
        <f aca="false">Q8+Q9+Q10+Q11+Q12</f>
        <v>0</v>
      </c>
      <c r="R14" s="21" t="n">
        <f aca="false">R8+R9+R10+R11+R12</f>
        <v>0</v>
      </c>
      <c r="S14" s="21" t="n">
        <f aca="false">S8+S9+S10+S11+S12</f>
        <v>0</v>
      </c>
      <c r="T14" s="21" t="n">
        <f aca="false">T8+T9+T10+T11+T12</f>
        <v>0</v>
      </c>
      <c r="U14" s="21" t="n">
        <f aca="false">U8+U9+U10+U11+U12</f>
        <v>0</v>
      </c>
      <c r="V14" s="21" t="n">
        <f aca="false">V8+V9+V10+V11+V12</f>
        <v>0</v>
      </c>
    </row>
    <row r="16" customFormat="false" ht="15" hidden="false" customHeight="false" outlineLevel="0" collapsed="false">
      <c r="B16" s="1" t="s">
        <v>487</v>
      </c>
    </row>
    <row r="17" customFormat="false" ht="15" hidden="false" customHeight="false" outlineLevel="0" collapsed="false">
      <c r="B17" s="10" t="s">
        <v>401</v>
      </c>
      <c r="C17" s="6" t="n">
        <f aca="false">IF('Anchor Revenue'!C7=0,0,Assumptions!$C$121+('Anchor Revenue'!C7-1)*Assumptions!$C$123)</f>
        <v>0</v>
      </c>
      <c r="D17" s="6" t="n">
        <f aca="false">IF('Anchor Revenue'!D7=0,0,Assumptions!$C$121+('Anchor Revenue'!D7-1)*Assumptions!$C$123)</f>
        <v>0</v>
      </c>
      <c r="E17" s="6" t="n">
        <f aca="false">IF('Anchor Revenue'!E7=0,0,Assumptions!$C$121+('Anchor Revenue'!E7-1)*Assumptions!$C$123)</f>
        <v>0</v>
      </c>
      <c r="F17" s="6" t="n">
        <f aca="false">IF('Anchor Revenue'!F7=0,0,Assumptions!$C$121+('Anchor Revenue'!F7-1)*Assumptions!$C$123)</f>
        <v>124200</v>
      </c>
      <c r="G17" s="6" t="n">
        <f aca="false">IF('Anchor Revenue'!G7=0,0,Assumptions!$C$121+('Anchor Revenue'!G7-1)*Assumptions!$C$123)</f>
        <v>229500</v>
      </c>
      <c r="H17" s="6" t="n">
        <f aca="false">IF('Anchor Revenue'!H7=0,0,Assumptions!$C$121+('Anchor Revenue'!H7-1)*Assumptions!$C$123)</f>
        <v>229500</v>
      </c>
      <c r="I17" s="6" t="n">
        <f aca="false">IF('Anchor Revenue'!I7=0,0,Assumptions!$C$121+('Anchor Revenue'!I7-1)*Assumptions!$C$123)</f>
        <v>229500</v>
      </c>
      <c r="J17" s="6" t="n">
        <f aca="false">IF('Anchor Revenue'!J7=0,0,Assumptions!$C$121+('Anchor Revenue'!J7-1)*Assumptions!$C$123)</f>
        <v>229500</v>
      </c>
      <c r="K17" s="6" t="n">
        <f aca="false">IF('Anchor Revenue'!K7=0,0,Assumptions!$C$121+('Anchor Revenue'!K7-1)*Assumptions!$C$123)</f>
        <v>229500</v>
      </c>
      <c r="L17" s="6" t="n">
        <f aca="false">IF('Anchor Revenue'!L7=0,0,Assumptions!$C$121+('Anchor Revenue'!L7-1)*Assumptions!$C$123)</f>
        <v>229500</v>
      </c>
      <c r="M17" s="6" t="n">
        <f aca="false">IF('Anchor Revenue'!M7=0,0,Assumptions!$C$121+('Anchor Revenue'!M7-1)*Assumptions!$C$123)</f>
        <v>229500</v>
      </c>
      <c r="N17" s="6" t="n">
        <f aca="false">IF('Anchor Revenue'!N7=0,0,Assumptions!$C$121+('Anchor Revenue'!N7-1)*Assumptions!$C$123)</f>
        <v>229500</v>
      </c>
      <c r="O17" s="6" t="n">
        <f aca="false">IF('Anchor Revenue'!O7=0,0,Assumptions!$C$121+('Anchor Revenue'!O7-1)*Assumptions!$C$123)</f>
        <v>229500</v>
      </c>
      <c r="P17" s="6" t="n">
        <f aca="false">IF('Anchor Revenue'!P7=0,0,Assumptions!$C$121+('Anchor Revenue'!P7-1)*Assumptions!$C$123)</f>
        <v>229500</v>
      </c>
      <c r="Q17" s="6" t="n">
        <f aca="false">IF('Anchor Revenue'!Q7=0,0,Assumptions!$C$121+('Anchor Revenue'!Q7-1)*Assumptions!$C$123)</f>
        <v>229500</v>
      </c>
      <c r="R17" s="6" t="n">
        <f aca="false">IF('Anchor Revenue'!R7=0,0,Assumptions!$C$121+('Anchor Revenue'!R7-1)*Assumptions!$C$123)</f>
        <v>229500</v>
      </c>
      <c r="S17" s="6" t="n">
        <f aca="false">IF('Anchor Revenue'!S7=0,0,Assumptions!$C$121+('Anchor Revenue'!S7-1)*Assumptions!$C$123)</f>
        <v>229500</v>
      </c>
      <c r="T17" s="6" t="n">
        <f aca="false">IF('Anchor Revenue'!T7=0,0,Assumptions!$C$121+('Anchor Revenue'!T7-1)*Assumptions!$C$123)</f>
        <v>229500</v>
      </c>
      <c r="U17" s="6" t="n">
        <f aca="false">IF('Anchor Revenue'!U7=0,0,Assumptions!$C$121+('Anchor Revenue'!U7-1)*Assumptions!$C$123)</f>
        <v>229500</v>
      </c>
      <c r="V17" s="6" t="n">
        <f aca="false">IF('Anchor Revenue'!V7=0,0,Assumptions!$C$121+('Anchor Revenue'!V7-1)*Assumptions!$C$123)</f>
        <v>229500</v>
      </c>
    </row>
    <row r="18" customFormat="false" ht="15" hidden="false" customHeight="false" outlineLevel="0" collapsed="false">
      <c r="B18" s="10" t="s">
        <v>402</v>
      </c>
      <c r="C18" s="6" t="n">
        <f aca="false">IF('Anchor Revenue'!C8=0,0,Assumptions!$C$121+('Anchor Revenue'!C8-1)*Assumptions!$C$123)</f>
        <v>0</v>
      </c>
      <c r="D18" s="6" t="n">
        <f aca="false">IF('Anchor Revenue'!D8=0,0,Assumptions!$C$121+('Anchor Revenue'!D8-1)*Assumptions!$C$123)</f>
        <v>0</v>
      </c>
      <c r="E18" s="6" t="n">
        <f aca="false">IF('Anchor Revenue'!E8=0,0,Assumptions!$C$121+('Anchor Revenue'!E8-1)*Assumptions!$C$123)</f>
        <v>0</v>
      </c>
      <c r="F18" s="6" t="n">
        <f aca="false">IF('Anchor Revenue'!F8=0,0,Assumptions!$C$121+('Anchor Revenue'!F8-1)*Assumptions!$C$123)</f>
        <v>0</v>
      </c>
      <c r="G18" s="6" t="n">
        <f aca="false">IF('Anchor Revenue'!G8=0,0,Assumptions!$C$121+('Anchor Revenue'!G8-1)*Assumptions!$C$123)</f>
        <v>89100</v>
      </c>
      <c r="H18" s="6" t="n">
        <f aca="false">IF('Anchor Revenue'!H8=0,0,Assumptions!$C$121+('Anchor Revenue'!H8-1)*Assumptions!$C$123)</f>
        <v>159300</v>
      </c>
      <c r="I18" s="6" t="n">
        <f aca="false">IF('Anchor Revenue'!I8=0,0,Assumptions!$C$121+('Anchor Revenue'!I8-1)*Assumptions!$C$123)</f>
        <v>159300</v>
      </c>
      <c r="J18" s="6" t="n">
        <f aca="false">IF('Anchor Revenue'!J8=0,0,Assumptions!$C$121+('Anchor Revenue'!J8-1)*Assumptions!$C$123)</f>
        <v>159300</v>
      </c>
      <c r="K18" s="6" t="n">
        <f aca="false">IF('Anchor Revenue'!K8=0,0,Assumptions!$C$121+('Anchor Revenue'!K8-1)*Assumptions!$C$123)</f>
        <v>159300</v>
      </c>
      <c r="L18" s="6" t="n">
        <f aca="false">IF('Anchor Revenue'!L8=0,0,Assumptions!$C$121+('Anchor Revenue'!L8-1)*Assumptions!$C$123)</f>
        <v>159300</v>
      </c>
      <c r="M18" s="6" t="n">
        <f aca="false">IF('Anchor Revenue'!M8=0,0,Assumptions!$C$121+('Anchor Revenue'!M8-1)*Assumptions!$C$123)</f>
        <v>159300</v>
      </c>
      <c r="N18" s="6" t="n">
        <f aca="false">IF('Anchor Revenue'!N8=0,0,Assumptions!$C$121+('Anchor Revenue'!N8-1)*Assumptions!$C$123)</f>
        <v>159300</v>
      </c>
      <c r="O18" s="6" t="n">
        <f aca="false">IF('Anchor Revenue'!O8=0,0,Assumptions!$C$121+('Anchor Revenue'!O8-1)*Assumptions!$C$123)</f>
        <v>159300</v>
      </c>
      <c r="P18" s="6" t="n">
        <f aca="false">IF('Anchor Revenue'!P8=0,0,Assumptions!$C$121+('Anchor Revenue'!P8-1)*Assumptions!$C$123)</f>
        <v>159300</v>
      </c>
      <c r="Q18" s="6" t="n">
        <f aca="false">IF('Anchor Revenue'!Q8=0,0,Assumptions!$C$121+('Anchor Revenue'!Q8-1)*Assumptions!$C$123)</f>
        <v>159300</v>
      </c>
      <c r="R18" s="6" t="n">
        <f aca="false">IF('Anchor Revenue'!R8=0,0,Assumptions!$C$121+('Anchor Revenue'!R8-1)*Assumptions!$C$123)</f>
        <v>159300</v>
      </c>
      <c r="S18" s="6" t="n">
        <f aca="false">IF('Anchor Revenue'!S8=0,0,Assumptions!$C$121+('Anchor Revenue'!S8-1)*Assumptions!$C$123)</f>
        <v>159300</v>
      </c>
      <c r="T18" s="6" t="n">
        <f aca="false">IF('Anchor Revenue'!T8=0,0,Assumptions!$C$121+('Anchor Revenue'!T8-1)*Assumptions!$C$123)</f>
        <v>159300</v>
      </c>
      <c r="U18" s="6" t="n">
        <f aca="false">IF('Anchor Revenue'!U8=0,0,Assumptions!$C$121+('Anchor Revenue'!U8-1)*Assumptions!$C$123)</f>
        <v>159300</v>
      </c>
      <c r="V18" s="6" t="n">
        <f aca="false">IF('Anchor Revenue'!V8=0,0,Assumptions!$C$121+('Anchor Revenue'!V8-1)*Assumptions!$C$123)</f>
        <v>159300</v>
      </c>
    </row>
    <row r="19" customFormat="false" ht="15" hidden="false" customHeight="false" outlineLevel="0" collapsed="false">
      <c r="B19" s="10" t="s">
        <v>403</v>
      </c>
      <c r="C19" s="6" t="n">
        <f aca="false">IF('Anchor Revenue'!C9=0,0,Assumptions!$C$121+('Anchor Revenue'!C9-1)*Assumptions!$C$123)</f>
        <v>0</v>
      </c>
      <c r="D19" s="6" t="n">
        <f aca="false">IF('Anchor Revenue'!D9=0,0,Assumptions!$C$121+('Anchor Revenue'!D9-1)*Assumptions!$C$123)</f>
        <v>0</v>
      </c>
      <c r="E19" s="6" t="n">
        <f aca="false">IF('Anchor Revenue'!E9=0,0,Assumptions!$C$121+('Anchor Revenue'!E9-1)*Assumptions!$C$123)</f>
        <v>0</v>
      </c>
      <c r="F19" s="6" t="n">
        <f aca="false">IF('Anchor Revenue'!F9=0,0,Assumptions!$C$121+('Anchor Revenue'!F9-1)*Assumptions!$C$123)</f>
        <v>0</v>
      </c>
      <c r="G19" s="6" t="n">
        <f aca="false">IF('Anchor Revenue'!G9=0,0,Assumptions!$C$121+('Anchor Revenue'!G9-1)*Assumptions!$C$123)</f>
        <v>0</v>
      </c>
      <c r="H19" s="6" t="n">
        <f aca="false">IF('Anchor Revenue'!H9=0,0,Assumptions!$C$121+('Anchor Revenue'!H9-1)*Assumptions!$C$123)</f>
        <v>89100</v>
      </c>
      <c r="I19" s="6" t="n">
        <f aca="false">IF('Anchor Revenue'!I9=0,0,Assumptions!$C$121+('Anchor Revenue'!I9-1)*Assumptions!$C$123)</f>
        <v>194400</v>
      </c>
      <c r="J19" s="6" t="n">
        <f aca="false">IF('Anchor Revenue'!J9=0,0,Assumptions!$C$121+('Anchor Revenue'!J9-1)*Assumptions!$C$123)</f>
        <v>194400</v>
      </c>
      <c r="K19" s="6" t="n">
        <f aca="false">IF('Anchor Revenue'!K9=0,0,Assumptions!$C$121+('Anchor Revenue'!K9-1)*Assumptions!$C$123)</f>
        <v>194400</v>
      </c>
      <c r="L19" s="6" t="n">
        <f aca="false">IF('Anchor Revenue'!L9=0,0,Assumptions!$C$121+('Anchor Revenue'!L9-1)*Assumptions!$C$123)</f>
        <v>194400</v>
      </c>
      <c r="M19" s="6" t="n">
        <f aca="false">IF('Anchor Revenue'!M9=0,0,Assumptions!$C$121+('Anchor Revenue'!M9-1)*Assumptions!$C$123)</f>
        <v>194400</v>
      </c>
      <c r="N19" s="6" t="n">
        <f aca="false">IF('Anchor Revenue'!N9=0,0,Assumptions!$C$121+('Anchor Revenue'!N9-1)*Assumptions!$C$123)</f>
        <v>194400</v>
      </c>
      <c r="O19" s="6" t="n">
        <f aca="false">IF('Anchor Revenue'!O9=0,0,Assumptions!$C$121+('Anchor Revenue'!O9-1)*Assumptions!$C$123)</f>
        <v>194400</v>
      </c>
      <c r="P19" s="6" t="n">
        <f aca="false">IF('Anchor Revenue'!P9=0,0,Assumptions!$C$121+('Anchor Revenue'!P9-1)*Assumptions!$C$123)</f>
        <v>194400</v>
      </c>
      <c r="Q19" s="6" t="n">
        <f aca="false">IF('Anchor Revenue'!Q9=0,0,Assumptions!$C$121+('Anchor Revenue'!Q9-1)*Assumptions!$C$123)</f>
        <v>194400</v>
      </c>
      <c r="R19" s="6" t="n">
        <f aca="false">IF('Anchor Revenue'!R9=0,0,Assumptions!$C$121+('Anchor Revenue'!R9-1)*Assumptions!$C$123)</f>
        <v>194400</v>
      </c>
      <c r="S19" s="6" t="n">
        <f aca="false">IF('Anchor Revenue'!S9=0,0,Assumptions!$C$121+('Anchor Revenue'!S9-1)*Assumptions!$C$123)</f>
        <v>194400</v>
      </c>
      <c r="T19" s="6" t="n">
        <f aca="false">IF('Anchor Revenue'!T9=0,0,Assumptions!$C$121+('Anchor Revenue'!T9-1)*Assumptions!$C$123)</f>
        <v>194400</v>
      </c>
      <c r="U19" s="6" t="n">
        <f aca="false">IF('Anchor Revenue'!U9=0,0,Assumptions!$C$121+('Anchor Revenue'!U9-1)*Assumptions!$C$123)</f>
        <v>194400</v>
      </c>
      <c r="V19" s="6" t="n">
        <f aca="false">IF('Anchor Revenue'!V9=0,0,Assumptions!$C$121+('Anchor Revenue'!V9-1)*Assumptions!$C$123)</f>
        <v>194400</v>
      </c>
    </row>
    <row r="20" customFormat="false" ht="15" hidden="false" customHeight="false" outlineLevel="0" collapsed="false">
      <c r="B20" s="10" t="s">
        <v>404</v>
      </c>
      <c r="C20" s="6" t="n">
        <f aca="false">IF('Anchor Revenue'!C10=0,0,Assumptions!$C$121+('Anchor Revenue'!C10-1)*Assumptions!$C$123)</f>
        <v>0</v>
      </c>
      <c r="D20" s="6" t="n">
        <f aca="false">IF('Anchor Revenue'!D10=0,0,Assumptions!$C$121+('Anchor Revenue'!D10-1)*Assumptions!$C$123)</f>
        <v>0</v>
      </c>
      <c r="E20" s="6" t="n">
        <f aca="false">IF('Anchor Revenue'!E10=0,0,Assumptions!$C$121+('Anchor Revenue'!E10-1)*Assumptions!$C$123)</f>
        <v>0</v>
      </c>
      <c r="F20" s="6" t="n">
        <f aca="false">IF('Anchor Revenue'!F10=0,0,Assumptions!$C$121+('Anchor Revenue'!F10-1)*Assumptions!$C$123)</f>
        <v>0</v>
      </c>
      <c r="G20" s="6" t="n">
        <f aca="false">IF('Anchor Revenue'!G10=0,0,Assumptions!$C$121+('Anchor Revenue'!G10-1)*Assumptions!$C$123)</f>
        <v>0</v>
      </c>
      <c r="H20" s="6" t="n">
        <f aca="false">IF('Anchor Revenue'!H10=0,0,Assumptions!$C$121+('Anchor Revenue'!H10-1)*Assumptions!$C$123)</f>
        <v>0</v>
      </c>
      <c r="I20" s="6" t="n">
        <f aca="false">IF('Anchor Revenue'!I10=0,0,Assumptions!$C$121+('Anchor Revenue'!I10-1)*Assumptions!$C$123)</f>
        <v>89100</v>
      </c>
      <c r="J20" s="6" t="n">
        <f aca="false">IF('Anchor Revenue'!J10=0,0,Assumptions!$C$121+('Anchor Revenue'!J10-1)*Assumptions!$C$123)</f>
        <v>124200</v>
      </c>
      <c r="K20" s="6" t="n">
        <f aca="false">IF('Anchor Revenue'!K10=0,0,Assumptions!$C$121+('Anchor Revenue'!K10-1)*Assumptions!$C$123)</f>
        <v>124200</v>
      </c>
      <c r="L20" s="6" t="n">
        <f aca="false">IF('Anchor Revenue'!L10=0,0,Assumptions!$C$121+('Anchor Revenue'!L10-1)*Assumptions!$C$123)</f>
        <v>124200</v>
      </c>
      <c r="M20" s="6" t="n">
        <f aca="false">IF('Anchor Revenue'!M10=0,0,Assumptions!$C$121+('Anchor Revenue'!M10-1)*Assumptions!$C$123)</f>
        <v>124200</v>
      </c>
      <c r="N20" s="6" t="n">
        <f aca="false">IF('Anchor Revenue'!N10=0,0,Assumptions!$C$121+('Anchor Revenue'!N10-1)*Assumptions!$C$123)</f>
        <v>124200</v>
      </c>
      <c r="O20" s="6" t="n">
        <f aca="false">IF('Anchor Revenue'!O10=0,0,Assumptions!$C$121+('Anchor Revenue'!O10-1)*Assumptions!$C$123)</f>
        <v>124200</v>
      </c>
      <c r="P20" s="6" t="n">
        <f aca="false">IF('Anchor Revenue'!P10=0,0,Assumptions!$C$121+('Anchor Revenue'!P10-1)*Assumptions!$C$123)</f>
        <v>124200</v>
      </c>
      <c r="Q20" s="6" t="n">
        <f aca="false">IF('Anchor Revenue'!Q10=0,0,Assumptions!$C$121+('Anchor Revenue'!Q10-1)*Assumptions!$C$123)</f>
        <v>124200</v>
      </c>
      <c r="R20" s="6" t="n">
        <f aca="false">IF('Anchor Revenue'!R10=0,0,Assumptions!$C$121+('Anchor Revenue'!R10-1)*Assumptions!$C$123)</f>
        <v>124200</v>
      </c>
      <c r="S20" s="6" t="n">
        <f aca="false">IF('Anchor Revenue'!S10=0,0,Assumptions!$C$121+('Anchor Revenue'!S10-1)*Assumptions!$C$123)</f>
        <v>124200</v>
      </c>
      <c r="T20" s="6" t="n">
        <f aca="false">IF('Anchor Revenue'!T10=0,0,Assumptions!$C$121+('Anchor Revenue'!T10-1)*Assumptions!$C$123)</f>
        <v>124200</v>
      </c>
      <c r="U20" s="6" t="n">
        <f aca="false">IF('Anchor Revenue'!U10=0,0,Assumptions!$C$121+('Anchor Revenue'!U10-1)*Assumptions!$C$123)</f>
        <v>124200</v>
      </c>
      <c r="V20" s="6" t="n">
        <f aca="false">IF('Anchor Revenue'!V10=0,0,Assumptions!$C$121+('Anchor Revenue'!V10-1)*Assumptions!$C$123)</f>
        <v>124200</v>
      </c>
    </row>
    <row r="21" customFormat="false" ht="15" hidden="false" customHeight="false" outlineLevel="0" collapsed="false">
      <c r="B21" s="10" t="s">
        <v>405</v>
      </c>
      <c r="C21" s="6" t="n">
        <f aca="false">IF('Anchor Revenue'!C11=0,0,Assumptions!$C$121+('Anchor Revenue'!C11-1)*Assumptions!$C$123)</f>
        <v>0</v>
      </c>
      <c r="D21" s="6" t="n">
        <f aca="false">IF('Anchor Revenue'!D11=0,0,Assumptions!$C$121+('Anchor Revenue'!D11-1)*Assumptions!$C$123)</f>
        <v>0</v>
      </c>
      <c r="E21" s="6" t="n">
        <f aca="false">IF('Anchor Revenue'!E11=0,0,Assumptions!$C$121+('Anchor Revenue'!E11-1)*Assumptions!$C$123)</f>
        <v>0</v>
      </c>
      <c r="F21" s="6" t="n">
        <f aca="false">IF('Anchor Revenue'!F11=0,0,Assumptions!$C$121+('Anchor Revenue'!F11-1)*Assumptions!$C$123)</f>
        <v>0</v>
      </c>
      <c r="G21" s="6" t="n">
        <f aca="false">IF('Anchor Revenue'!G11=0,0,Assumptions!$C$121+('Anchor Revenue'!G11-1)*Assumptions!$C$123)</f>
        <v>0</v>
      </c>
      <c r="H21" s="6" t="n">
        <f aca="false">IF('Anchor Revenue'!H11=0,0,Assumptions!$C$121+('Anchor Revenue'!H11-1)*Assumptions!$C$123)</f>
        <v>0</v>
      </c>
      <c r="I21" s="6" t="n">
        <f aca="false">IF('Anchor Revenue'!I11=0,0,Assumptions!$C$121+('Anchor Revenue'!I11-1)*Assumptions!$C$123)</f>
        <v>0</v>
      </c>
      <c r="J21" s="6" t="n">
        <f aca="false">IF('Anchor Revenue'!J11=0,0,Assumptions!$C$121+('Anchor Revenue'!J11-1)*Assumptions!$C$123)</f>
        <v>89100</v>
      </c>
      <c r="K21" s="6" t="n">
        <f aca="false">IF('Anchor Revenue'!K11=0,0,Assumptions!$C$121+('Anchor Revenue'!K11-1)*Assumptions!$C$123)</f>
        <v>89100</v>
      </c>
      <c r="L21" s="6" t="n">
        <f aca="false">IF('Anchor Revenue'!L11=0,0,Assumptions!$C$121+('Anchor Revenue'!L11-1)*Assumptions!$C$123)</f>
        <v>89100</v>
      </c>
      <c r="M21" s="6" t="n">
        <f aca="false">IF('Anchor Revenue'!M11=0,0,Assumptions!$C$121+('Anchor Revenue'!M11-1)*Assumptions!$C$123)</f>
        <v>89100</v>
      </c>
      <c r="N21" s="6" t="n">
        <f aca="false">IF('Anchor Revenue'!N11=0,0,Assumptions!$C$121+('Anchor Revenue'!N11-1)*Assumptions!$C$123)</f>
        <v>89100</v>
      </c>
      <c r="O21" s="6" t="n">
        <f aca="false">IF('Anchor Revenue'!O11=0,0,Assumptions!$C$121+('Anchor Revenue'!O11-1)*Assumptions!$C$123)</f>
        <v>89100</v>
      </c>
      <c r="P21" s="6" t="n">
        <f aca="false">IF('Anchor Revenue'!P11=0,0,Assumptions!$C$121+('Anchor Revenue'!P11-1)*Assumptions!$C$123)</f>
        <v>89100</v>
      </c>
      <c r="Q21" s="6" t="n">
        <f aca="false">IF('Anchor Revenue'!Q11=0,0,Assumptions!$C$121+('Anchor Revenue'!Q11-1)*Assumptions!$C$123)</f>
        <v>89100</v>
      </c>
      <c r="R21" s="6" t="n">
        <f aca="false">IF('Anchor Revenue'!R11=0,0,Assumptions!$C$121+('Anchor Revenue'!R11-1)*Assumptions!$C$123)</f>
        <v>89100</v>
      </c>
      <c r="S21" s="6" t="n">
        <f aca="false">IF('Anchor Revenue'!S11=0,0,Assumptions!$C$121+('Anchor Revenue'!S11-1)*Assumptions!$C$123)</f>
        <v>89100</v>
      </c>
      <c r="T21" s="6" t="n">
        <f aca="false">IF('Anchor Revenue'!T11=0,0,Assumptions!$C$121+('Anchor Revenue'!T11-1)*Assumptions!$C$123)</f>
        <v>89100</v>
      </c>
      <c r="U21" s="6" t="n">
        <f aca="false">IF('Anchor Revenue'!U11=0,0,Assumptions!$C$121+('Anchor Revenue'!U11-1)*Assumptions!$C$123)</f>
        <v>89100</v>
      </c>
      <c r="V21" s="6" t="n">
        <f aca="false">IF('Anchor Revenue'!V11=0,0,Assumptions!$C$121+('Anchor Revenue'!V11-1)*Assumptions!$C$123)</f>
        <v>89100</v>
      </c>
    </row>
    <row r="23" customFormat="false" ht="15" hidden="false" customHeight="false" outlineLevel="0" collapsed="false">
      <c r="B23" s="1" t="s">
        <v>488</v>
      </c>
      <c r="C23" s="21" t="n">
        <f aca="false">C17+C18+C19+C20+C21</f>
        <v>0</v>
      </c>
      <c r="D23" s="21" t="n">
        <f aca="false">D17+D18+D19+D20+D21</f>
        <v>0</v>
      </c>
      <c r="E23" s="21" t="n">
        <f aca="false">E17+E18+E19+E20+E21</f>
        <v>0</v>
      </c>
      <c r="F23" s="21" t="n">
        <f aca="false">F17+F18+F19+F20+F21</f>
        <v>124200</v>
      </c>
      <c r="G23" s="21" t="n">
        <f aca="false">G17+G18+G19+G20+G21</f>
        <v>318600</v>
      </c>
      <c r="H23" s="21" t="n">
        <f aca="false">H17+H18+H19+H20+H21</f>
        <v>477900</v>
      </c>
      <c r="I23" s="21" t="n">
        <f aca="false">I17+I18+I19+I20+I21</f>
        <v>672300</v>
      </c>
      <c r="J23" s="21" t="n">
        <f aca="false">J17+J18+J19+J20+J21</f>
        <v>796500</v>
      </c>
      <c r="K23" s="21" t="n">
        <f aca="false">K17+K18+K19+K20+K21</f>
        <v>796500</v>
      </c>
      <c r="L23" s="21" t="n">
        <f aca="false">L17+L18+L19+L20+L21</f>
        <v>796500</v>
      </c>
      <c r="M23" s="21" t="n">
        <f aca="false">M17+M18+M19+M20+M21</f>
        <v>796500</v>
      </c>
      <c r="N23" s="21" t="n">
        <f aca="false">N17+N18+N19+N20+N21</f>
        <v>796500</v>
      </c>
      <c r="O23" s="21" t="n">
        <f aca="false">O17+O18+O19+O20+O21</f>
        <v>796500</v>
      </c>
      <c r="P23" s="21" t="n">
        <f aca="false">P17+P18+P19+P20+P21</f>
        <v>796500</v>
      </c>
      <c r="Q23" s="21" t="n">
        <f aca="false">Q17+Q18+Q19+Q20+Q21</f>
        <v>796500</v>
      </c>
      <c r="R23" s="21" t="n">
        <f aca="false">R17+R18+R19+R20+R21</f>
        <v>796500</v>
      </c>
      <c r="S23" s="21" t="n">
        <f aca="false">S17+S18+S19+S20+S21</f>
        <v>796500</v>
      </c>
      <c r="T23" s="21" t="n">
        <f aca="false">T17+T18+T19+T20+T21</f>
        <v>796500</v>
      </c>
      <c r="U23" s="21" t="n">
        <f aca="false">U17+U18+U19+U20+U21</f>
        <v>796500</v>
      </c>
      <c r="V23" s="21" t="n">
        <f aca="false">V17+V18+V19+V20+V21</f>
        <v>796500</v>
      </c>
    </row>
    <row r="25" customFormat="false" ht="15" hidden="false" customHeight="false" outlineLevel="0" collapsed="false">
      <c r="B25" s="1" t="s">
        <v>489</v>
      </c>
      <c r="C25" s="21" t="n">
        <f aca="false">C14+C23</f>
        <v>0</v>
      </c>
      <c r="D25" s="21" t="n">
        <f aca="false">D14+D23</f>
        <v>0</v>
      </c>
      <c r="E25" s="21" t="n">
        <f aca="false">E14+E23</f>
        <v>0</v>
      </c>
      <c r="F25" s="21" t="n">
        <f aca="false">F14+F23</f>
        <v>266800</v>
      </c>
      <c r="G25" s="21" t="n">
        <f aca="false">G14+G23</f>
        <v>541800</v>
      </c>
      <c r="H25" s="21" t="n">
        <f aca="false">H14+H23</f>
        <v>660800</v>
      </c>
      <c r="I25" s="21" t="n">
        <f aca="false">I14+I23</f>
        <v>895500</v>
      </c>
      <c r="J25" s="21" t="n">
        <f aca="false">J14+J23</f>
        <v>939100</v>
      </c>
      <c r="K25" s="21" t="n">
        <f aca="false">K14+K23</f>
        <v>796500</v>
      </c>
      <c r="L25" s="21" t="n">
        <f aca="false">L14+L23</f>
        <v>796500</v>
      </c>
      <c r="M25" s="21" t="n">
        <f aca="false">M14+M23</f>
        <v>796500</v>
      </c>
      <c r="N25" s="21" t="n">
        <f aca="false">N14+N23</f>
        <v>796500</v>
      </c>
      <c r="O25" s="21" t="n">
        <f aca="false">O14+O23</f>
        <v>796500</v>
      </c>
      <c r="P25" s="21" t="n">
        <f aca="false">P14+P23</f>
        <v>796500</v>
      </c>
      <c r="Q25" s="21" t="n">
        <f aca="false">Q14+Q23</f>
        <v>796500</v>
      </c>
      <c r="R25" s="21" t="n">
        <f aca="false">R14+R23</f>
        <v>796500</v>
      </c>
      <c r="S25" s="21" t="n">
        <f aca="false">S14+S23</f>
        <v>796500</v>
      </c>
      <c r="T25" s="21" t="n">
        <f aca="false">T14+T23</f>
        <v>796500</v>
      </c>
      <c r="U25" s="21" t="n">
        <f aca="false">U14+U23</f>
        <v>796500</v>
      </c>
      <c r="V25" s="21" t="n">
        <f aca="false">V14+V23</f>
        <v>796500</v>
      </c>
    </row>
    <row r="27" customFormat="false" ht="15" hidden="false" customHeight="false" outlineLevel="0" collapsed="false">
      <c r="B27" s="1" t="s">
        <v>490</v>
      </c>
    </row>
    <row r="28" customFormat="false" ht="15" hidden="false" customHeight="false" outlineLevel="0" collapsed="false">
      <c r="B28" s="1" t="s">
        <v>485</v>
      </c>
    </row>
    <row r="29" customFormat="false" ht="15" hidden="false" customHeight="false" outlineLevel="0" collapsed="false">
      <c r="B29" s="10" t="s">
        <v>491</v>
      </c>
      <c r="C29" s="6" t="n">
        <f aca="false">'Expansion Pipeline'!C9*Assumptions!$C$125</f>
        <v>0</v>
      </c>
      <c r="D29" s="6" t="n">
        <f aca="false">'Expansion Pipeline'!D9*Assumptions!$C$125</f>
        <v>0</v>
      </c>
      <c r="E29" s="6" t="n">
        <f aca="false">'Expansion Pipeline'!E9*Assumptions!$C$125</f>
        <v>0</v>
      </c>
      <c r="F29" s="6" t="n">
        <f aca="false">'Expansion Pipeline'!F9*Assumptions!$C$125</f>
        <v>0</v>
      </c>
      <c r="G29" s="6" t="n">
        <f aca="false">'Expansion Pipeline'!G9*Assumptions!$C$125</f>
        <v>0</v>
      </c>
      <c r="H29" s="6" t="n">
        <f aca="false">'Expansion Pipeline'!H9*Assumptions!$C$125</f>
        <v>0</v>
      </c>
      <c r="I29" s="6" t="n">
        <f aca="false">'Expansion Pipeline'!I9*Assumptions!$C$125</f>
        <v>0</v>
      </c>
      <c r="J29" s="6" t="n">
        <f aca="false">'Expansion Pipeline'!J9*Assumptions!$C$125</f>
        <v>0</v>
      </c>
      <c r="K29" s="6" t="n">
        <f aca="false">'Expansion Pipeline'!K9*Assumptions!$C$125</f>
        <v>0</v>
      </c>
      <c r="L29" s="6" t="n">
        <f aca="false">'Expansion Pipeline'!L9*Assumptions!$C$125</f>
        <v>0</v>
      </c>
      <c r="M29" s="6" t="n">
        <f aca="false">'Expansion Pipeline'!M9*Assumptions!$C$125</f>
        <v>0</v>
      </c>
      <c r="N29" s="6" t="n">
        <f aca="false">'Expansion Pipeline'!N9*Assumptions!$C$125</f>
        <v>142600</v>
      </c>
      <c r="O29" s="6" t="n">
        <f aca="false">'Expansion Pipeline'!O9*Assumptions!$C$125</f>
        <v>285200</v>
      </c>
      <c r="P29" s="6" t="n">
        <f aca="false">'Expansion Pipeline'!P9*Assumptions!$C$125</f>
        <v>285200</v>
      </c>
      <c r="Q29" s="6" t="n">
        <f aca="false">'Expansion Pipeline'!Q9*Assumptions!$C$125</f>
        <v>427800</v>
      </c>
      <c r="R29" s="6" t="n">
        <f aca="false">'Expansion Pipeline'!R9*Assumptions!$C$125</f>
        <v>570400</v>
      </c>
      <c r="S29" s="6" t="n">
        <f aca="false">'Expansion Pipeline'!S9*Assumptions!$C$125</f>
        <v>427800</v>
      </c>
      <c r="T29" s="6" t="n">
        <f aca="false">'Expansion Pipeline'!T9*Assumptions!$C$125</f>
        <v>570400</v>
      </c>
      <c r="U29" s="6" t="n">
        <f aca="false">'Expansion Pipeline'!U9*Assumptions!$C$125</f>
        <v>570400</v>
      </c>
      <c r="V29" s="6" t="n">
        <f aca="false">'Expansion Pipeline'!V9*Assumptions!$C$125</f>
        <v>713000</v>
      </c>
    </row>
    <row r="31" customFormat="false" ht="15" hidden="false" customHeight="false" outlineLevel="0" collapsed="false">
      <c r="B31" s="1" t="s">
        <v>492</v>
      </c>
      <c r="C31" s="21" t="n">
        <f aca="false">C29</f>
        <v>0</v>
      </c>
      <c r="D31" s="21" t="n">
        <f aca="false">D29</f>
        <v>0</v>
      </c>
      <c r="E31" s="21" t="n">
        <f aca="false">E29</f>
        <v>0</v>
      </c>
      <c r="F31" s="21" t="n">
        <f aca="false">F29</f>
        <v>0</v>
      </c>
      <c r="G31" s="21" t="n">
        <f aca="false">G29</f>
        <v>0</v>
      </c>
      <c r="H31" s="21" t="n">
        <f aca="false">H29</f>
        <v>0</v>
      </c>
      <c r="I31" s="21" t="n">
        <f aca="false">I29</f>
        <v>0</v>
      </c>
      <c r="J31" s="21" t="n">
        <f aca="false">J29</f>
        <v>0</v>
      </c>
      <c r="K31" s="21" t="n">
        <f aca="false">K29</f>
        <v>0</v>
      </c>
      <c r="L31" s="21" t="n">
        <f aca="false">L29</f>
        <v>0</v>
      </c>
      <c r="M31" s="21" t="n">
        <f aca="false">M29</f>
        <v>0</v>
      </c>
      <c r="N31" s="21" t="n">
        <f aca="false">N29</f>
        <v>142600</v>
      </c>
      <c r="O31" s="21" t="n">
        <f aca="false">O29</f>
        <v>285200</v>
      </c>
      <c r="P31" s="21" t="n">
        <f aca="false">P29</f>
        <v>285200</v>
      </c>
      <c r="Q31" s="21" t="n">
        <f aca="false">Q29</f>
        <v>427800</v>
      </c>
      <c r="R31" s="21" t="n">
        <f aca="false">R29</f>
        <v>570400</v>
      </c>
      <c r="S31" s="21" t="n">
        <f aca="false">S29</f>
        <v>427800</v>
      </c>
      <c r="T31" s="21" t="n">
        <f aca="false">T29</f>
        <v>570400</v>
      </c>
      <c r="U31" s="21" t="n">
        <f aca="false">U29</f>
        <v>570400</v>
      </c>
      <c r="V31" s="21" t="n">
        <f aca="false">V29</f>
        <v>713000</v>
      </c>
    </row>
    <row r="33" customFormat="false" ht="15" hidden="false" customHeight="false" outlineLevel="0" collapsed="false">
      <c r="B33" s="1" t="s">
        <v>487</v>
      </c>
    </row>
    <row r="34" customFormat="false" ht="15" hidden="false" customHeight="false" outlineLevel="0" collapsed="false">
      <c r="B34" s="10" t="s">
        <v>493</v>
      </c>
      <c r="C34" s="6" t="n">
        <f aca="false">'Expansion Pipeline'!C11*Assumptions!$C$126</f>
        <v>0</v>
      </c>
      <c r="D34" s="6" t="n">
        <f aca="false">'Expansion Pipeline'!D11*Assumptions!$C$126</f>
        <v>0</v>
      </c>
      <c r="E34" s="6" t="n">
        <f aca="false">'Expansion Pipeline'!E11*Assumptions!$C$126</f>
        <v>0</v>
      </c>
      <c r="F34" s="6" t="n">
        <f aca="false">'Expansion Pipeline'!F11*Assumptions!$C$126</f>
        <v>0</v>
      </c>
      <c r="G34" s="6" t="n">
        <f aca="false">'Expansion Pipeline'!G11*Assumptions!$C$126</f>
        <v>0</v>
      </c>
      <c r="H34" s="6" t="n">
        <f aca="false">'Expansion Pipeline'!H11*Assumptions!$C$126</f>
        <v>0</v>
      </c>
      <c r="I34" s="6" t="n">
        <f aca="false">'Expansion Pipeline'!I11*Assumptions!$C$126</f>
        <v>0</v>
      </c>
      <c r="J34" s="6" t="n">
        <f aca="false">'Expansion Pipeline'!J11*Assumptions!$C$126</f>
        <v>0</v>
      </c>
      <c r="K34" s="6" t="n">
        <f aca="false">'Expansion Pipeline'!K11*Assumptions!$C$126</f>
        <v>0</v>
      </c>
      <c r="L34" s="6" t="n">
        <f aca="false">'Expansion Pipeline'!L11*Assumptions!$C$126</f>
        <v>0</v>
      </c>
      <c r="M34" s="6" t="n">
        <f aca="false">'Expansion Pipeline'!M11*Assumptions!$C$126</f>
        <v>0</v>
      </c>
      <c r="N34" s="6" t="n">
        <f aca="false">'Expansion Pipeline'!N11*Assumptions!$C$126</f>
        <v>124200</v>
      </c>
      <c r="O34" s="6" t="n">
        <f aca="false">'Expansion Pipeline'!O11*Assumptions!$C$126</f>
        <v>372600</v>
      </c>
      <c r="P34" s="6" t="n">
        <f aca="false">'Expansion Pipeline'!P11*Assumptions!$C$126</f>
        <v>621000</v>
      </c>
      <c r="Q34" s="6" t="n">
        <f aca="false">'Expansion Pipeline'!Q11*Assumptions!$C$126</f>
        <v>993600</v>
      </c>
      <c r="R34" s="6" t="n">
        <f aca="false">'Expansion Pipeline'!R11*Assumptions!$C$126</f>
        <v>1490400</v>
      </c>
      <c r="S34" s="6" t="n">
        <f aca="false">'Expansion Pipeline'!S11*Assumptions!$C$126</f>
        <v>1863000</v>
      </c>
      <c r="T34" s="6" t="n">
        <f aca="false">'Expansion Pipeline'!T11*Assumptions!$C$126</f>
        <v>2359800</v>
      </c>
      <c r="U34" s="6" t="n">
        <f aca="false">'Expansion Pipeline'!U11*Assumptions!$C$126</f>
        <v>2856600</v>
      </c>
      <c r="V34" s="6" t="n">
        <f aca="false">'Expansion Pipeline'!V11*Assumptions!$C$126</f>
        <v>3477600</v>
      </c>
    </row>
    <row r="36" customFormat="false" ht="15" hidden="false" customHeight="false" outlineLevel="0" collapsed="false">
      <c r="B36" s="1" t="s">
        <v>494</v>
      </c>
      <c r="C36" s="21" t="n">
        <f aca="false">C34</f>
        <v>0</v>
      </c>
      <c r="D36" s="21" t="n">
        <f aca="false">D34</f>
        <v>0</v>
      </c>
      <c r="E36" s="21" t="n">
        <f aca="false">E34</f>
        <v>0</v>
      </c>
      <c r="F36" s="21" t="n">
        <f aca="false">F34</f>
        <v>0</v>
      </c>
      <c r="G36" s="21" t="n">
        <f aca="false">G34</f>
        <v>0</v>
      </c>
      <c r="H36" s="21" t="n">
        <f aca="false">H34</f>
        <v>0</v>
      </c>
      <c r="I36" s="21" t="n">
        <f aca="false">I34</f>
        <v>0</v>
      </c>
      <c r="J36" s="21" t="n">
        <f aca="false">J34</f>
        <v>0</v>
      </c>
      <c r="K36" s="21" t="n">
        <f aca="false">K34</f>
        <v>0</v>
      </c>
      <c r="L36" s="21" t="n">
        <f aca="false">L34</f>
        <v>0</v>
      </c>
      <c r="M36" s="21" t="n">
        <f aca="false">M34</f>
        <v>0</v>
      </c>
      <c r="N36" s="21" t="n">
        <f aca="false">N34</f>
        <v>124200</v>
      </c>
      <c r="O36" s="21" t="n">
        <f aca="false">O34</f>
        <v>372600</v>
      </c>
      <c r="P36" s="21" t="n">
        <f aca="false">P34</f>
        <v>621000</v>
      </c>
      <c r="Q36" s="21" t="n">
        <f aca="false">Q34</f>
        <v>993600</v>
      </c>
      <c r="R36" s="21" t="n">
        <f aca="false">R34</f>
        <v>1490400</v>
      </c>
      <c r="S36" s="21" t="n">
        <f aca="false">S34</f>
        <v>1863000</v>
      </c>
      <c r="T36" s="21" t="n">
        <f aca="false">T34</f>
        <v>2359800</v>
      </c>
      <c r="U36" s="21" t="n">
        <f aca="false">U34</f>
        <v>2856600</v>
      </c>
      <c r="V36" s="21" t="n">
        <f aca="false">V34</f>
        <v>3477600</v>
      </c>
    </row>
    <row r="38" customFormat="false" ht="15" hidden="false" customHeight="false" outlineLevel="0" collapsed="false">
      <c r="B38" s="1" t="s">
        <v>495</v>
      </c>
      <c r="C38" s="21" t="n">
        <f aca="false">C31+C36</f>
        <v>0</v>
      </c>
      <c r="D38" s="21" t="n">
        <f aca="false">D31+D36</f>
        <v>0</v>
      </c>
      <c r="E38" s="21" t="n">
        <f aca="false">E31+E36</f>
        <v>0</v>
      </c>
      <c r="F38" s="21" t="n">
        <f aca="false">F31+F36</f>
        <v>0</v>
      </c>
      <c r="G38" s="21" t="n">
        <f aca="false">G31+G36</f>
        <v>0</v>
      </c>
      <c r="H38" s="21" t="n">
        <f aca="false">H31+H36</f>
        <v>0</v>
      </c>
      <c r="I38" s="21" t="n">
        <f aca="false">I31+I36</f>
        <v>0</v>
      </c>
      <c r="J38" s="21" t="n">
        <f aca="false">J31+J36</f>
        <v>0</v>
      </c>
      <c r="K38" s="21" t="n">
        <f aca="false">K31+K36</f>
        <v>0</v>
      </c>
      <c r="L38" s="21" t="n">
        <f aca="false">L31+L36</f>
        <v>0</v>
      </c>
      <c r="M38" s="21" t="n">
        <f aca="false">M31+M36</f>
        <v>0</v>
      </c>
      <c r="N38" s="21" t="n">
        <f aca="false">N31+N36</f>
        <v>266800</v>
      </c>
      <c r="O38" s="21" t="n">
        <f aca="false">O31+O36</f>
        <v>657800</v>
      </c>
      <c r="P38" s="21" t="n">
        <f aca="false">P31+P36</f>
        <v>906200</v>
      </c>
      <c r="Q38" s="21" t="n">
        <f aca="false">Q31+Q36</f>
        <v>1421400</v>
      </c>
      <c r="R38" s="21" t="n">
        <f aca="false">R31+R36</f>
        <v>2060800</v>
      </c>
      <c r="S38" s="21" t="n">
        <f aca="false">S31+S36</f>
        <v>2290800</v>
      </c>
      <c r="T38" s="21" t="n">
        <f aca="false">T31+T36</f>
        <v>2930200</v>
      </c>
      <c r="U38" s="21" t="n">
        <f aca="false">U31+U36</f>
        <v>3427000</v>
      </c>
      <c r="V38" s="21" t="n">
        <f aca="false">V31+V36</f>
        <v>4190600</v>
      </c>
    </row>
    <row r="40" customFormat="false" ht="15" hidden="false" customHeight="false" outlineLevel="0" collapsed="false">
      <c r="B40" s="1" t="s">
        <v>496</v>
      </c>
    </row>
    <row r="41" customFormat="false" ht="15" hidden="false" customHeight="false" outlineLevel="0" collapsed="false">
      <c r="B41" s="10" t="s">
        <v>497</v>
      </c>
      <c r="C41" s="6" t="n">
        <f aca="false">C14+C31</f>
        <v>0</v>
      </c>
      <c r="D41" s="6" t="n">
        <f aca="false">D14+D31</f>
        <v>0</v>
      </c>
      <c r="E41" s="6" t="n">
        <f aca="false">E14+E31</f>
        <v>0</v>
      </c>
      <c r="F41" s="6" t="n">
        <f aca="false">F14+F31</f>
        <v>142600</v>
      </c>
      <c r="G41" s="6" t="n">
        <f aca="false">G14+G31</f>
        <v>223200</v>
      </c>
      <c r="H41" s="6" t="n">
        <f aca="false">H14+H31</f>
        <v>182900</v>
      </c>
      <c r="I41" s="6" t="n">
        <f aca="false">I14+I31</f>
        <v>223200</v>
      </c>
      <c r="J41" s="6" t="n">
        <f aca="false">J14+J31</f>
        <v>142600</v>
      </c>
      <c r="K41" s="6" t="n">
        <f aca="false">K14+K31</f>
        <v>0</v>
      </c>
      <c r="L41" s="6" t="n">
        <f aca="false">L14+L31</f>
        <v>0</v>
      </c>
      <c r="M41" s="6" t="n">
        <f aca="false">M14+M31</f>
        <v>0</v>
      </c>
      <c r="N41" s="6" t="n">
        <f aca="false">N14+N31</f>
        <v>142600</v>
      </c>
      <c r="O41" s="6" t="n">
        <f aca="false">O14+O31</f>
        <v>285200</v>
      </c>
      <c r="P41" s="6" t="n">
        <f aca="false">P14+P31</f>
        <v>285200</v>
      </c>
      <c r="Q41" s="6" t="n">
        <f aca="false">Q14+Q31</f>
        <v>427800</v>
      </c>
      <c r="R41" s="6" t="n">
        <f aca="false">R14+R31</f>
        <v>570400</v>
      </c>
      <c r="S41" s="6" t="n">
        <f aca="false">S14+S31</f>
        <v>427800</v>
      </c>
      <c r="T41" s="6" t="n">
        <f aca="false">T14+T31</f>
        <v>570400</v>
      </c>
      <c r="U41" s="6" t="n">
        <f aca="false">U14+U31</f>
        <v>570400</v>
      </c>
      <c r="V41" s="6" t="n">
        <f aca="false">V14+V31</f>
        <v>713000</v>
      </c>
    </row>
    <row r="42" customFormat="false" ht="15" hidden="false" customHeight="false" outlineLevel="0" collapsed="false">
      <c r="B42" s="10" t="s">
        <v>498</v>
      </c>
      <c r="C42" s="6" t="n">
        <f aca="false">C23+C36</f>
        <v>0</v>
      </c>
      <c r="D42" s="6" t="n">
        <f aca="false">D23+D36</f>
        <v>0</v>
      </c>
      <c r="E42" s="6" t="n">
        <f aca="false">E23+E36</f>
        <v>0</v>
      </c>
      <c r="F42" s="6" t="n">
        <f aca="false">F23+F36</f>
        <v>124200</v>
      </c>
      <c r="G42" s="6" t="n">
        <f aca="false">G23+G36</f>
        <v>318600</v>
      </c>
      <c r="H42" s="6" t="n">
        <f aca="false">H23+H36</f>
        <v>477900</v>
      </c>
      <c r="I42" s="6" t="n">
        <f aca="false">I23+I36</f>
        <v>672300</v>
      </c>
      <c r="J42" s="6" t="n">
        <f aca="false">J23+J36</f>
        <v>796500</v>
      </c>
      <c r="K42" s="6" t="n">
        <f aca="false">K23+K36</f>
        <v>796500</v>
      </c>
      <c r="L42" s="6" t="n">
        <f aca="false">L23+L36</f>
        <v>796500</v>
      </c>
      <c r="M42" s="6" t="n">
        <f aca="false">M23+M36</f>
        <v>796500</v>
      </c>
      <c r="N42" s="6" t="n">
        <f aca="false">N23+N36</f>
        <v>920700</v>
      </c>
      <c r="O42" s="6" t="n">
        <f aca="false">O23+O36</f>
        <v>1169100</v>
      </c>
      <c r="P42" s="6" t="n">
        <f aca="false">P23+P36</f>
        <v>1417500</v>
      </c>
      <c r="Q42" s="6" t="n">
        <f aca="false">Q23+Q36</f>
        <v>1790100</v>
      </c>
      <c r="R42" s="6" t="n">
        <f aca="false">R23+R36</f>
        <v>2286900</v>
      </c>
      <c r="S42" s="6" t="n">
        <f aca="false">S23+S36</f>
        <v>2659500</v>
      </c>
      <c r="T42" s="6" t="n">
        <f aca="false">T23+T36</f>
        <v>3156300</v>
      </c>
      <c r="U42" s="6" t="n">
        <f aca="false">U23+U36</f>
        <v>3653100</v>
      </c>
      <c r="V42" s="6" t="n">
        <f aca="false">V23+V36</f>
        <v>4274100</v>
      </c>
    </row>
    <row r="44" customFormat="false" ht="15" hidden="false" customHeight="false" outlineLevel="0" collapsed="false">
      <c r="B44" s="1" t="s">
        <v>499</v>
      </c>
      <c r="C44" s="21" t="n">
        <f aca="false">C41+C42</f>
        <v>0</v>
      </c>
      <c r="D44" s="21" t="n">
        <f aca="false">D41+D42</f>
        <v>0</v>
      </c>
      <c r="E44" s="21" t="n">
        <f aca="false">E41+E42</f>
        <v>0</v>
      </c>
      <c r="F44" s="21" t="n">
        <f aca="false">F41+F42</f>
        <v>266800</v>
      </c>
      <c r="G44" s="21" t="n">
        <f aca="false">G41+G42</f>
        <v>541800</v>
      </c>
      <c r="H44" s="21" t="n">
        <f aca="false">H41+H42</f>
        <v>660800</v>
      </c>
      <c r="I44" s="21" t="n">
        <f aca="false">I41+I42</f>
        <v>895500</v>
      </c>
      <c r="J44" s="21" t="n">
        <f aca="false">J41+J42</f>
        <v>939100</v>
      </c>
      <c r="K44" s="21" t="n">
        <f aca="false">K41+K42</f>
        <v>796500</v>
      </c>
      <c r="L44" s="21" t="n">
        <f aca="false">L41+L42</f>
        <v>796500</v>
      </c>
      <c r="M44" s="21" t="n">
        <f aca="false">M41+M42</f>
        <v>796500</v>
      </c>
      <c r="N44" s="21" t="n">
        <f aca="false">N41+N42</f>
        <v>1063300</v>
      </c>
      <c r="O44" s="21" t="n">
        <f aca="false">O41+O42</f>
        <v>1454300</v>
      </c>
      <c r="P44" s="21" t="n">
        <f aca="false">P41+P42</f>
        <v>1702700</v>
      </c>
      <c r="Q44" s="21" t="n">
        <f aca="false">Q41+Q42</f>
        <v>2217900</v>
      </c>
      <c r="R44" s="21" t="n">
        <f aca="false">R41+R42</f>
        <v>2857300</v>
      </c>
      <c r="S44" s="21" t="n">
        <f aca="false">S41+S42</f>
        <v>3087300</v>
      </c>
      <c r="T44" s="21" t="n">
        <f aca="false">T41+T42</f>
        <v>3726700</v>
      </c>
      <c r="U44" s="21" t="n">
        <f aca="false">U41+U42</f>
        <v>4223500</v>
      </c>
      <c r="V44" s="21" t="n">
        <f aca="false">V41+V42</f>
        <v>4987100</v>
      </c>
    </row>
    <row r="46" customFormat="false" ht="15" hidden="false" customHeight="false" outlineLevel="0" collapsed="false">
      <c r="B46" s="1" t="s">
        <v>430</v>
      </c>
    </row>
    <row r="47" customFormat="false" ht="15" hidden="false" customHeight="false" outlineLevel="0" collapsed="false">
      <c r="C47" s="2" t="s">
        <v>431</v>
      </c>
      <c r="D47" s="2" t="s">
        <v>432</v>
      </c>
      <c r="E47" s="2" t="s">
        <v>433</v>
      </c>
      <c r="F47" s="2" t="s">
        <v>434</v>
      </c>
      <c r="G47" s="2" t="s">
        <v>435</v>
      </c>
    </row>
    <row r="48" customFormat="false" ht="15" hidden="false" customHeight="false" outlineLevel="0" collapsed="false">
      <c r="B48" s="10" t="s">
        <v>500</v>
      </c>
      <c r="C48" s="6" t="n">
        <f aca="false">'Cost Forecast'!C14+'Cost Forecast'!D14+'Cost Forecast'!E14+'Cost Forecast'!F14</f>
        <v>142600</v>
      </c>
      <c r="D48" s="6" t="n">
        <f aca="false">'Cost Forecast'!G14+'Cost Forecast'!H14+'Cost Forecast'!I14+'Cost Forecast'!J14</f>
        <v>771900</v>
      </c>
      <c r="E48" s="6" t="n">
        <f aca="false">'Cost Forecast'!K14+'Cost Forecast'!L14+'Cost Forecast'!M14+'Cost Forecast'!N14</f>
        <v>0</v>
      </c>
      <c r="F48" s="6" t="n">
        <f aca="false">'Cost Forecast'!O14+'Cost Forecast'!P14+'Cost Forecast'!Q14+'Cost Forecast'!R14</f>
        <v>0</v>
      </c>
      <c r="G48" s="6" t="n">
        <f aca="false">'Cost Forecast'!S14+'Cost Forecast'!T14+'Cost Forecast'!U14+'Cost Forecast'!V14</f>
        <v>0</v>
      </c>
    </row>
    <row r="49" customFormat="false" ht="15" hidden="false" customHeight="false" outlineLevel="0" collapsed="false">
      <c r="B49" s="10" t="s">
        <v>501</v>
      </c>
      <c r="C49" s="6" t="n">
        <f aca="false">'Cost Forecast'!C23+'Cost Forecast'!D23+'Cost Forecast'!E23+'Cost Forecast'!F23</f>
        <v>124200</v>
      </c>
      <c r="D49" s="6" t="n">
        <f aca="false">'Cost Forecast'!G23+'Cost Forecast'!H23+'Cost Forecast'!I23+'Cost Forecast'!J23</f>
        <v>2265300</v>
      </c>
      <c r="E49" s="6" t="n">
        <f aca="false">'Cost Forecast'!K23+'Cost Forecast'!L23+'Cost Forecast'!M23+'Cost Forecast'!N23</f>
        <v>3186000</v>
      </c>
      <c r="F49" s="6" t="n">
        <f aca="false">'Cost Forecast'!O23+'Cost Forecast'!P23+'Cost Forecast'!Q23+'Cost Forecast'!R23</f>
        <v>3186000</v>
      </c>
      <c r="G49" s="6" t="n">
        <f aca="false">'Cost Forecast'!S23+'Cost Forecast'!T23+'Cost Forecast'!U23+'Cost Forecast'!V23</f>
        <v>3186000</v>
      </c>
    </row>
    <row r="50" customFormat="false" ht="15" hidden="false" customHeight="false" outlineLevel="0" collapsed="false">
      <c r="B50" s="10" t="s">
        <v>502</v>
      </c>
      <c r="C50" s="6" t="n">
        <f aca="false">'Cost Forecast'!C31+'Cost Forecast'!D31+'Cost Forecast'!E31+'Cost Forecast'!F31</f>
        <v>0</v>
      </c>
      <c r="D50" s="6" t="n">
        <f aca="false">'Cost Forecast'!G31+'Cost Forecast'!H31+'Cost Forecast'!I31+'Cost Forecast'!J31</f>
        <v>0</v>
      </c>
      <c r="E50" s="6" t="n">
        <f aca="false">'Cost Forecast'!K31+'Cost Forecast'!L31+'Cost Forecast'!M31+'Cost Forecast'!N31</f>
        <v>142600</v>
      </c>
      <c r="F50" s="6" t="n">
        <f aca="false">'Cost Forecast'!O31+'Cost Forecast'!P31+'Cost Forecast'!Q31+'Cost Forecast'!R31</f>
        <v>1568600</v>
      </c>
      <c r="G50" s="6" t="n">
        <f aca="false">'Cost Forecast'!S31+'Cost Forecast'!T31+'Cost Forecast'!U31+'Cost Forecast'!V31</f>
        <v>2281600</v>
      </c>
    </row>
    <row r="51" customFormat="false" ht="15" hidden="false" customHeight="false" outlineLevel="0" collapsed="false">
      <c r="B51" s="10" t="s">
        <v>503</v>
      </c>
      <c r="C51" s="6" t="n">
        <f aca="false">'Cost Forecast'!C36+'Cost Forecast'!D36+'Cost Forecast'!E36+'Cost Forecast'!F36</f>
        <v>0</v>
      </c>
      <c r="D51" s="6" t="n">
        <f aca="false">'Cost Forecast'!G36+'Cost Forecast'!H36+'Cost Forecast'!I36+'Cost Forecast'!J36</f>
        <v>0</v>
      </c>
      <c r="E51" s="6" t="n">
        <f aca="false">'Cost Forecast'!K36+'Cost Forecast'!L36+'Cost Forecast'!M36+'Cost Forecast'!N36</f>
        <v>124200</v>
      </c>
      <c r="F51" s="6" t="n">
        <f aca="false">'Cost Forecast'!O36+'Cost Forecast'!P36+'Cost Forecast'!Q36+'Cost Forecast'!R36</f>
        <v>3477600</v>
      </c>
      <c r="G51" s="6" t="n">
        <f aca="false">'Cost Forecast'!S36+'Cost Forecast'!T36+'Cost Forecast'!U36+'Cost Forecast'!V36</f>
        <v>10557000</v>
      </c>
    </row>
    <row r="53" customFormat="false" ht="15" hidden="false" customHeight="false" outlineLevel="0" collapsed="false">
      <c r="B53" s="1" t="s">
        <v>504</v>
      </c>
      <c r="C53" s="21" t="n">
        <f aca="false">C48+C49+C50+C51</f>
        <v>266800</v>
      </c>
      <c r="D53" s="21" t="n">
        <f aca="false">D48+D49+D50+D51</f>
        <v>3037200</v>
      </c>
      <c r="E53" s="21" t="n">
        <f aca="false">E48+E49+E50+E51</f>
        <v>3452800</v>
      </c>
      <c r="F53" s="21" t="n">
        <f aca="false">F48+F49+F50+F51</f>
        <v>8232200</v>
      </c>
      <c r="G53" s="21" t="n">
        <f aca="false">G48+G49+G50+G51</f>
        <v>16024600</v>
      </c>
    </row>
    <row r="54" customFormat="false" ht="15" hidden="false" customHeight="false" outlineLevel="0" collapsed="false">
      <c r="B54" s="1" t="s">
        <v>505</v>
      </c>
      <c r="C54" s="21" t="n">
        <f aca="false">C53</f>
        <v>266800</v>
      </c>
      <c r="D54" s="21" t="n">
        <f aca="false">C54+D53</f>
        <v>3304000</v>
      </c>
      <c r="E54" s="21" t="n">
        <f aca="false">D54+E53</f>
        <v>6756800</v>
      </c>
      <c r="F54" s="21" t="n">
        <f aca="false">E54+F53</f>
        <v>14989000</v>
      </c>
      <c r="G54" s="21" t="n">
        <f aca="false">F54+G53</f>
        <v>31013600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20" t="s">
        <v>506</v>
      </c>
    </row>
    <row r="3" customFormat="false" ht="15" hidden="false" customHeight="false" outlineLevel="0" collapsed="false">
      <c r="C3" s="2" t="s">
        <v>431</v>
      </c>
      <c r="D3" s="2" t="s">
        <v>432</v>
      </c>
      <c r="E3" s="2" t="s">
        <v>433</v>
      </c>
      <c r="F3" s="2" t="s">
        <v>434</v>
      </c>
      <c r="G3" s="2" t="s">
        <v>435</v>
      </c>
    </row>
    <row r="5" customFormat="false" ht="15" hidden="false" customHeight="false" outlineLevel="0" collapsed="false">
      <c r="B5" s="1" t="s">
        <v>507</v>
      </c>
    </row>
    <row r="6" customFormat="false" ht="15" hidden="false" customHeight="false" outlineLevel="0" collapsed="false">
      <c r="B6" s="10" t="s">
        <v>468</v>
      </c>
      <c r="C6" s="6" t="n">
        <f aca="false">'Combined Summary'!C5</f>
        <v>2846520</v>
      </c>
      <c r="D6" s="6" t="n">
        <f aca="false">'Combined Summary'!D5</f>
        <v>3449804.013</v>
      </c>
      <c r="E6" s="6" t="n">
        <f aca="false">'Combined Summary'!E5</f>
        <v>4766715.13483333</v>
      </c>
      <c r="F6" s="6" t="n">
        <f aca="false">'Combined Summary'!F5</f>
        <v>6889582.7095</v>
      </c>
      <c r="G6" s="6" t="n">
        <f aca="false">'Combined Summary'!G5</f>
        <v>8561420.26</v>
      </c>
    </row>
    <row r="7" customFormat="false" ht="15" hidden="false" customHeight="false" outlineLevel="0" collapsed="false">
      <c r="B7" s="24" t="s">
        <v>469</v>
      </c>
      <c r="C7" s="25" t="n">
        <f aca="false">'Combined Summary'!C6</f>
        <v>738750</v>
      </c>
      <c r="D7" s="25" t="n">
        <f aca="false">'Combined Summary'!D6</f>
        <v>1511250</v>
      </c>
      <c r="E7" s="25" t="n">
        <f aca="false">'Combined Summary'!E6</f>
        <v>488750</v>
      </c>
      <c r="F7" s="25" t="n">
        <f aca="false">'Combined Summary'!F6</f>
        <v>0</v>
      </c>
      <c r="G7" s="25" t="n">
        <f aca="false">'Combined Summary'!G6</f>
        <v>0</v>
      </c>
    </row>
    <row r="8" customFormat="false" ht="15" hidden="false" customHeight="false" outlineLevel="0" collapsed="false">
      <c r="B8" s="10" t="s">
        <v>470</v>
      </c>
      <c r="C8" s="6" t="n">
        <f aca="false">'Combined Summary'!C7</f>
        <v>0</v>
      </c>
      <c r="D8" s="6" t="n">
        <f aca="false">'Combined Summary'!D7</f>
        <v>0</v>
      </c>
      <c r="E8" s="6" t="n">
        <f aca="false">'Combined Summary'!E7</f>
        <v>2542770</v>
      </c>
      <c r="F8" s="6" t="n">
        <f aca="false">'Combined Summary'!F7</f>
        <v>8557177.584</v>
      </c>
      <c r="G8" s="6" t="n">
        <f aca="false">'Combined Summary'!G7</f>
        <v>20926880.256</v>
      </c>
    </row>
    <row r="10" customFormat="false" ht="15" hidden="false" customHeight="false" outlineLevel="0" collapsed="false">
      <c r="B10" s="1" t="s">
        <v>508</v>
      </c>
      <c r="C10" s="21" t="n">
        <f aca="false">C6+C8</f>
        <v>2846520</v>
      </c>
      <c r="D10" s="21" t="n">
        <f aca="false">D6+D8</f>
        <v>3449804.013</v>
      </c>
      <c r="E10" s="21" t="n">
        <f aca="false">E6+E8</f>
        <v>7309485.13483333</v>
      </c>
      <c r="F10" s="21" t="n">
        <f aca="false">F6+F8</f>
        <v>15446760.2935</v>
      </c>
      <c r="G10" s="21" t="n">
        <f aca="false">G6+G8</f>
        <v>29488300.516</v>
      </c>
    </row>
    <row r="11" customFormat="false" ht="15" hidden="false" customHeight="false" outlineLevel="0" collapsed="false">
      <c r="B11" s="1" t="s">
        <v>473</v>
      </c>
      <c r="C11" s="21" t="n">
        <f aca="false">C6+C7+C8</f>
        <v>3585270</v>
      </c>
      <c r="D11" s="21" t="n">
        <f aca="false">D6+D7+D8</f>
        <v>4961054.013</v>
      </c>
      <c r="E11" s="21" t="n">
        <f aca="false">E6+E7+E8</f>
        <v>7798235.13483333</v>
      </c>
      <c r="F11" s="21" t="n">
        <f aca="false">F6+F7+F8</f>
        <v>15446760.2935</v>
      </c>
      <c r="G11" s="21" t="n">
        <f aca="false">G6+G7+G8</f>
        <v>29488300.516</v>
      </c>
    </row>
    <row r="13" customFormat="false" ht="15" hidden="false" customHeight="false" outlineLevel="0" collapsed="false">
      <c r="B13" s="1" t="s">
        <v>509</v>
      </c>
    </row>
    <row r="14" customFormat="false" ht="15" hidden="false" customHeight="false" outlineLevel="0" collapsed="false">
      <c r="B14" s="10" t="s">
        <v>510</v>
      </c>
      <c r="C14" s="6" t="n">
        <f aca="false">'Cost Forecast'!C49</f>
        <v>124200</v>
      </c>
      <c r="D14" s="6" t="n">
        <f aca="false">'Cost Forecast'!D49</f>
        <v>2265300</v>
      </c>
      <c r="E14" s="6" t="n">
        <f aca="false">'Cost Forecast'!E49</f>
        <v>3186000</v>
      </c>
      <c r="F14" s="6" t="n">
        <f aca="false">'Cost Forecast'!F49</f>
        <v>3186000</v>
      </c>
      <c r="G14" s="6" t="n">
        <f aca="false">'Cost Forecast'!G49</f>
        <v>3186000</v>
      </c>
    </row>
    <row r="15" customFormat="false" ht="15" hidden="false" customHeight="false" outlineLevel="0" collapsed="false">
      <c r="B15" s="10" t="s">
        <v>511</v>
      </c>
      <c r="C15" s="6" t="n">
        <f aca="false">'Cost Forecast'!C51</f>
        <v>0</v>
      </c>
      <c r="D15" s="6" t="n">
        <f aca="false">'Cost Forecast'!D51</f>
        <v>0</v>
      </c>
      <c r="E15" s="6" t="n">
        <f aca="false">'Cost Forecast'!E51</f>
        <v>124200</v>
      </c>
      <c r="F15" s="6" t="n">
        <f aca="false">'Cost Forecast'!F51</f>
        <v>3477600</v>
      </c>
      <c r="G15" s="6" t="n">
        <f aca="false">'Cost Forecast'!G51</f>
        <v>10557000</v>
      </c>
    </row>
    <row r="17" customFormat="false" ht="15" hidden="false" customHeight="false" outlineLevel="0" collapsed="false">
      <c r="B17" s="1" t="s">
        <v>512</v>
      </c>
      <c r="C17" s="21" t="n">
        <f aca="false">C14+C15</f>
        <v>124200</v>
      </c>
      <c r="D17" s="21" t="n">
        <f aca="false">D14+D15</f>
        <v>2265300</v>
      </c>
      <c r="E17" s="21" t="n">
        <f aca="false">E14+E15</f>
        <v>3310200</v>
      </c>
      <c r="F17" s="21" t="n">
        <f aca="false">F14+F15</f>
        <v>6663600</v>
      </c>
      <c r="G17" s="21" t="n">
        <f aca="false">G14+G15</f>
        <v>13743000</v>
      </c>
    </row>
    <row r="19" customFormat="false" ht="15" hidden="false" customHeight="false" outlineLevel="0" collapsed="false">
      <c r="B19" s="1" t="s">
        <v>513</v>
      </c>
    </row>
    <row r="20" customFormat="false" ht="15" hidden="false" customHeight="false" outlineLevel="0" collapsed="false">
      <c r="B20" s="1" t="s">
        <v>514</v>
      </c>
      <c r="C20" s="21" t="n">
        <f aca="false">C10-C17</f>
        <v>2722320</v>
      </c>
      <c r="D20" s="21" t="n">
        <f aca="false">D10-D17</f>
        <v>1184504.013</v>
      </c>
      <c r="E20" s="21" t="n">
        <f aca="false">E10-E17</f>
        <v>3999285.13483333</v>
      </c>
      <c r="F20" s="21" t="n">
        <f aca="false">F10-F17</f>
        <v>8783160.2935</v>
      </c>
      <c r="G20" s="21" t="n">
        <f aca="false">G10-G17</f>
        <v>15745300.516</v>
      </c>
    </row>
    <row r="21" customFormat="false" ht="15" hidden="false" customHeight="false" outlineLevel="0" collapsed="false">
      <c r="B21" s="10" t="s">
        <v>515</v>
      </c>
      <c r="C21" s="18" t="n">
        <f aca="false">IF(C10=0,0,C20/C10)</f>
        <v>0.956367775388896</v>
      </c>
      <c r="D21" s="18" t="n">
        <f aca="false">IF(D10=0,0,D20/D10)</f>
        <v>0.343354001716155</v>
      </c>
      <c r="E21" s="18" t="n">
        <f aca="false">IF(E10=0,0,E20/E10)</f>
        <v>0.547136366113497</v>
      </c>
      <c r="F21" s="18" t="n">
        <f aca="false">IF(F10=0,0,F20/F10)</f>
        <v>0.568608570769105</v>
      </c>
      <c r="G21" s="18" t="n">
        <f aca="false">IF(G10=0,0,G20/G10)</f>
        <v>0.53395076150478</v>
      </c>
    </row>
    <row r="23" customFormat="false" ht="15" hidden="false" customHeight="false" outlineLevel="0" collapsed="false">
      <c r="B23" s="1" t="s">
        <v>516</v>
      </c>
    </row>
    <row r="24" customFormat="false" ht="15" hidden="false" customHeight="false" outlineLevel="0" collapsed="false">
      <c r="B24" s="10" t="s">
        <v>517</v>
      </c>
      <c r="C24" s="6" t="n">
        <f aca="false">IF(0&lt;Assumptions!$C$131,'Cost Forecast'!C48/Assumptions!$C$131,0)</f>
        <v>28520</v>
      </c>
      <c r="D24" s="6" t="n">
        <f aca="false">IF(1&lt;Assumptions!$C$131,'Cost Forecast'!C48/Assumptions!$C$131,0)+IF(0&lt;Assumptions!$C$131,'Cost Forecast'!D48/Assumptions!$C$131,0)</f>
        <v>182900</v>
      </c>
      <c r="E24" s="6" t="n">
        <f aca="false">IF(2&lt;Assumptions!$C$131,'Cost Forecast'!C48/Assumptions!$C$131,0)+IF(1&lt;Assumptions!$C$131,'Cost Forecast'!D48/Assumptions!$C$131,0)+IF(0&lt;Assumptions!$C$131,'Cost Forecast'!E48/Assumptions!$C$131,0)</f>
        <v>182900</v>
      </c>
      <c r="F24" s="6" t="n">
        <f aca="false">IF(3&lt;Assumptions!$C$131,'Cost Forecast'!C48/Assumptions!$C$131,0)+IF(2&lt;Assumptions!$C$131,'Cost Forecast'!D48/Assumptions!$C$131,0)+IF(1&lt;Assumptions!$C$131,'Cost Forecast'!E48/Assumptions!$C$131,0)+IF(0&lt;Assumptions!$C$131,'Cost Forecast'!F48/Assumptions!$C$131,0)</f>
        <v>182900</v>
      </c>
      <c r="G24" s="6" t="n">
        <f aca="false">IF(4&lt;Assumptions!$C$131,'Cost Forecast'!C48/Assumptions!$C$131,0)+IF(3&lt;Assumptions!$C$131,'Cost Forecast'!D48/Assumptions!$C$131,0)+IF(2&lt;Assumptions!$C$131,'Cost Forecast'!E48/Assumptions!$C$131,0)+IF(1&lt;Assumptions!$C$131,'Cost Forecast'!F48/Assumptions!$C$131,0)+IF(0&lt;Assumptions!$C$131,'Cost Forecast'!G48/Assumptions!$C$131,0)</f>
        <v>182900</v>
      </c>
    </row>
    <row r="25" customFormat="false" ht="15" hidden="false" customHeight="false" outlineLevel="0" collapsed="false">
      <c r="B25" s="10" t="s">
        <v>518</v>
      </c>
      <c r="C25" s="6" t="n">
        <f aca="false">IF(0&lt;Assumptions!$C$131,'Cost Forecast'!C50/Assumptions!$C$131,0)</f>
        <v>0</v>
      </c>
      <c r="D25" s="6" t="n">
        <f aca="false">IF(1&lt;Assumptions!$C$131,'Cost Forecast'!C50/Assumptions!$C$131,0)+IF(0&lt;Assumptions!$C$131,'Cost Forecast'!D50/Assumptions!$C$131,0)</f>
        <v>0</v>
      </c>
      <c r="E25" s="6" t="n">
        <f aca="false">IF(2&lt;Assumptions!$C$131,'Cost Forecast'!C50/Assumptions!$C$131,0)+IF(1&lt;Assumptions!$C$131,'Cost Forecast'!D50/Assumptions!$C$131,0)+IF(0&lt;Assumptions!$C$131,'Cost Forecast'!E50/Assumptions!$C$131,0)</f>
        <v>28520</v>
      </c>
      <c r="F25" s="6" t="n">
        <f aca="false">IF(3&lt;Assumptions!$C$131,'Cost Forecast'!C50/Assumptions!$C$131,0)+IF(2&lt;Assumptions!$C$131,'Cost Forecast'!D50/Assumptions!$C$131,0)+IF(1&lt;Assumptions!$C$131,'Cost Forecast'!E50/Assumptions!$C$131,0)+IF(0&lt;Assumptions!$C$131,'Cost Forecast'!F50/Assumptions!$C$131,0)</f>
        <v>342240</v>
      </c>
      <c r="G25" s="6" t="n">
        <f aca="false">IF(4&lt;Assumptions!$C$131,'Cost Forecast'!C50/Assumptions!$C$131,0)+IF(3&lt;Assumptions!$C$131,'Cost Forecast'!D50/Assumptions!$C$131,0)+IF(2&lt;Assumptions!$C$131,'Cost Forecast'!E50/Assumptions!$C$131,0)+IF(1&lt;Assumptions!$C$131,'Cost Forecast'!F50/Assumptions!$C$131,0)+IF(0&lt;Assumptions!$C$131,'Cost Forecast'!G50/Assumptions!$C$131,0)</f>
        <v>798560</v>
      </c>
    </row>
    <row r="26" customFormat="false" ht="15" hidden="false" customHeight="false" outlineLevel="0" collapsed="false">
      <c r="B26" s="1" t="s">
        <v>519</v>
      </c>
      <c r="C26" s="21" t="n">
        <f aca="false">C24+C25</f>
        <v>28520</v>
      </c>
      <c r="D26" s="21" t="n">
        <f aca="false">D24+D25</f>
        <v>182900</v>
      </c>
      <c r="E26" s="21" t="n">
        <f aca="false">E24+E25</f>
        <v>211420</v>
      </c>
      <c r="F26" s="21" t="n">
        <f aca="false">F24+F25</f>
        <v>525140</v>
      </c>
      <c r="G26" s="21" t="n">
        <f aca="false">G24+G25</f>
        <v>981460</v>
      </c>
    </row>
    <row r="28" customFormat="false" ht="15" hidden="false" customHeight="false" outlineLevel="0" collapsed="false">
      <c r="B28" s="1" t="s">
        <v>520</v>
      </c>
    </row>
    <row r="29" customFormat="false" ht="15" hidden="false" customHeight="false" outlineLevel="0" collapsed="false">
      <c r="B29" s="10" t="s">
        <v>521</v>
      </c>
      <c r="C29" s="6" t="n">
        <f aca="false">C10*Assumptions!$C$129</f>
        <v>341582.4</v>
      </c>
      <c r="D29" s="6" t="n">
        <f aca="false">D10*Assumptions!$C$129</f>
        <v>413976.48156</v>
      </c>
      <c r="E29" s="6" t="n">
        <f aca="false">E10*Assumptions!$C$129</f>
        <v>877138.21618</v>
      </c>
      <c r="F29" s="6" t="n">
        <f aca="false">F10*Assumptions!$C$129</f>
        <v>1853611.23522</v>
      </c>
      <c r="G29" s="6" t="n">
        <f aca="false">G10*Assumptions!$C$129</f>
        <v>3538596.06192</v>
      </c>
    </row>
    <row r="30" customFormat="false" ht="15" hidden="false" customHeight="false" outlineLevel="0" collapsed="false">
      <c r="B30" s="10" t="s">
        <v>522</v>
      </c>
      <c r="C30" s="6" t="n">
        <f aca="false">C10*Assumptions!$C$130</f>
        <v>711630</v>
      </c>
      <c r="D30" s="6" t="n">
        <f aca="false">D10*Assumptions!$C$130</f>
        <v>862451.00325</v>
      </c>
      <c r="E30" s="6" t="n">
        <f aca="false">E10*Assumptions!$C$130</f>
        <v>1827371.28370833</v>
      </c>
      <c r="F30" s="6" t="n">
        <f aca="false">F10*Assumptions!$C$130</f>
        <v>3861690.073375</v>
      </c>
      <c r="G30" s="6" t="n">
        <f aca="false">G10*Assumptions!$C$130</f>
        <v>7372075.129</v>
      </c>
    </row>
    <row r="31" customFormat="false" ht="15" hidden="false" customHeight="false" outlineLevel="0" collapsed="false">
      <c r="B31" s="1" t="s">
        <v>523</v>
      </c>
      <c r="C31" s="21" t="n">
        <f aca="false">C29+C30</f>
        <v>1053212.4</v>
      </c>
      <c r="D31" s="21" t="n">
        <f aca="false">D29+D30</f>
        <v>1276427.48481</v>
      </c>
      <c r="E31" s="21" t="n">
        <f aca="false">E29+E30</f>
        <v>2704509.49988833</v>
      </c>
      <c r="F31" s="21" t="n">
        <f aca="false">F29+F30</f>
        <v>5715301.308595</v>
      </c>
      <c r="G31" s="21" t="n">
        <f aca="false">G29+G30</f>
        <v>10910671.19092</v>
      </c>
    </row>
    <row r="33" customFormat="false" ht="15" hidden="false" customHeight="false" outlineLevel="0" collapsed="false">
      <c r="B33" s="1" t="s">
        <v>524</v>
      </c>
    </row>
    <row r="34" customFormat="false" ht="15" hidden="false" customHeight="false" outlineLevel="0" collapsed="false">
      <c r="B34" s="1" t="s">
        <v>525</v>
      </c>
      <c r="C34" s="21" t="n">
        <f aca="false">C20-C26-C31</f>
        <v>1640587.6</v>
      </c>
      <c r="D34" s="21" t="n">
        <f aca="false">D20-D26-D31</f>
        <v>-274823.47181</v>
      </c>
      <c r="E34" s="21" t="n">
        <f aca="false">E20-E26-E31</f>
        <v>1083355.634945</v>
      </c>
      <c r="F34" s="21" t="n">
        <f aca="false">F20-F26-F31</f>
        <v>2542718.984905</v>
      </c>
      <c r="G34" s="21" t="n">
        <f aca="false">G20-G26-G31</f>
        <v>3853169.32508</v>
      </c>
    </row>
    <row r="35" customFormat="false" ht="15" hidden="false" customHeight="false" outlineLevel="0" collapsed="false">
      <c r="B35" s="10" t="s">
        <v>526</v>
      </c>
      <c r="C35" s="18" t="n">
        <f aca="false">IF(C10=0,0,C34/C10)</f>
        <v>0.576348523811531</v>
      </c>
      <c r="D35" s="18" t="n">
        <f aca="false">IF(D10=0,0,D34/D10)</f>
        <v>-0.0796635028466471</v>
      </c>
      <c r="E35" s="18" t="n">
        <f aca="false">IF(E10=0,0,E34/E10)</f>
        <v>0.148212304281497</v>
      </c>
      <c r="F35" s="18" t="n">
        <f aca="false">IF(F10=0,0,F34/F10)</f>
        <v>0.164611797981676</v>
      </c>
      <c r="G35" s="18" t="n">
        <f aca="false">IF(G10=0,0,G34/G10)</f>
        <v>0.130667731190182</v>
      </c>
    </row>
    <row r="37" customFormat="false" ht="15" hidden="false" customHeight="false" outlineLevel="0" collapsed="false">
      <c r="B37" s="1" t="s">
        <v>527</v>
      </c>
    </row>
    <row r="38" customFormat="false" ht="15" hidden="false" customHeight="false" outlineLevel="0" collapsed="false">
      <c r="B38" s="1" t="s">
        <v>444</v>
      </c>
      <c r="C38" s="21" t="n">
        <f aca="false">C10</f>
        <v>2846520</v>
      </c>
      <c r="D38" s="21" t="n">
        <f aca="false">C38+D10</f>
        <v>6296324.013</v>
      </c>
      <c r="E38" s="21" t="n">
        <f aca="false">D38+E10</f>
        <v>13605809.1478333</v>
      </c>
      <c r="F38" s="21" t="n">
        <f aca="false">E38+F10</f>
        <v>29052569.4413333</v>
      </c>
      <c r="G38" s="21" t="n">
        <f aca="false">F38+G10</f>
        <v>58540869.9573333</v>
      </c>
    </row>
    <row r="39" customFormat="false" ht="15" hidden="false" customHeight="false" outlineLevel="0" collapsed="false">
      <c r="B39" s="1" t="s">
        <v>528</v>
      </c>
      <c r="C39" s="21" t="n">
        <f aca="false">C17</f>
        <v>124200</v>
      </c>
      <c r="D39" s="21" t="n">
        <f aca="false">C39+D17</f>
        <v>2389500</v>
      </c>
      <c r="E39" s="21" t="n">
        <f aca="false">D39+E17</f>
        <v>5699700</v>
      </c>
      <c r="F39" s="21" t="n">
        <f aca="false">E39+F17</f>
        <v>12363300</v>
      </c>
      <c r="G39" s="21" t="n">
        <f aca="false">F39+G17</f>
        <v>26106300</v>
      </c>
    </row>
    <row r="40" customFormat="false" ht="15" hidden="false" customHeight="false" outlineLevel="0" collapsed="false">
      <c r="B40" s="1" t="s">
        <v>529</v>
      </c>
      <c r="C40" s="21" t="n">
        <f aca="false">C34</f>
        <v>1640587.6</v>
      </c>
      <c r="D40" s="21" t="n">
        <f aca="false">C40+D34</f>
        <v>1365764.12819</v>
      </c>
      <c r="E40" s="21" t="n">
        <f aca="false">D40+E34</f>
        <v>2449119.763135</v>
      </c>
      <c r="F40" s="21" t="n">
        <f aca="false">E40+F34</f>
        <v>4991838.74804</v>
      </c>
      <c r="G40" s="21" t="n">
        <f aca="false">F40+G34</f>
        <v>8845008.07312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33"/>
    <pageSetUpPr fitToPage="false"/>
  </sheetPr>
  <dimension ref="B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20" t="s">
        <v>530</v>
      </c>
    </row>
    <row r="3" customFormat="false" ht="15" hidden="false" customHeight="false" outlineLevel="0" collapsed="false">
      <c r="C3" s="2" t="s">
        <v>431</v>
      </c>
      <c r="D3" s="2" t="s">
        <v>432</v>
      </c>
      <c r="E3" s="2" t="s">
        <v>433</v>
      </c>
      <c r="F3" s="2" t="s">
        <v>434</v>
      </c>
      <c r="G3" s="2" t="s">
        <v>435</v>
      </c>
    </row>
    <row r="5" customFormat="false" ht="15" hidden="false" customHeight="false" outlineLevel="0" collapsed="false">
      <c r="B5" s="1" t="s">
        <v>531</v>
      </c>
    </row>
    <row r="6" customFormat="false" ht="15" hidden="false" customHeight="false" outlineLevel="0" collapsed="false">
      <c r="B6" s="0" t="s">
        <v>532</v>
      </c>
      <c r="C6" s="9" t="n">
        <v>0.25</v>
      </c>
    </row>
    <row r="7" customFormat="false" ht="15" hidden="false" customHeight="false" outlineLevel="0" collapsed="false">
      <c r="B7" s="0" t="s">
        <v>533</v>
      </c>
      <c r="C7" s="19" t="n">
        <v>10</v>
      </c>
    </row>
    <row r="9" customFormat="false" ht="15" hidden="false" customHeight="false" outlineLevel="0" collapsed="false">
      <c r="B9" s="1" t="s">
        <v>507</v>
      </c>
    </row>
    <row r="10" customFormat="false" ht="15" hidden="false" customHeight="false" outlineLevel="0" collapsed="false">
      <c r="B10" s="10" t="s">
        <v>436</v>
      </c>
      <c r="C10" s="6" t="n">
        <f aca="false">'Anchor Revenue'!C128</f>
        <v>2835000</v>
      </c>
      <c r="D10" s="6" t="n">
        <f aca="false">'Anchor Revenue'!D128</f>
        <v>2940000</v>
      </c>
      <c r="E10" s="6" t="n">
        <f aca="false">'Anchor Revenue'!E128</f>
        <v>1225000</v>
      </c>
      <c r="F10" s="6" t="n">
        <f aca="false">'Anchor Revenue'!F128</f>
        <v>0</v>
      </c>
      <c r="G10" s="6" t="n">
        <f aca="false">'Anchor Revenue'!G128</f>
        <v>0</v>
      </c>
    </row>
    <row r="11" customFormat="false" ht="15" hidden="false" customHeight="false" outlineLevel="0" collapsed="false">
      <c r="B11" s="10" t="s">
        <v>422</v>
      </c>
      <c r="C11" s="6" t="n">
        <f aca="false">'Anchor Revenue'!C129</f>
        <v>675000</v>
      </c>
      <c r="D11" s="6" t="n">
        <f aca="false">'Anchor Revenue'!D129</f>
        <v>300000</v>
      </c>
      <c r="E11" s="6" t="n">
        <f aca="false">'Anchor Revenue'!E129</f>
        <v>0</v>
      </c>
      <c r="F11" s="6" t="n">
        <f aca="false">'Anchor Revenue'!F129</f>
        <v>0</v>
      </c>
      <c r="G11" s="6" t="n">
        <f aca="false">'Anchor Revenue'!G129</f>
        <v>0</v>
      </c>
    </row>
    <row r="12" customFormat="false" ht="15" hidden="false" customHeight="false" outlineLevel="0" collapsed="false">
      <c r="B12" s="10" t="s">
        <v>437</v>
      </c>
      <c r="C12" s="6" t="n">
        <f aca="false">'Anchor Revenue'!C130</f>
        <v>63750</v>
      </c>
      <c r="D12" s="6" t="n">
        <f aca="false">'Anchor Revenue'!D130</f>
        <v>1211250</v>
      </c>
      <c r="E12" s="6" t="n">
        <f aca="false">'Anchor Revenue'!E130</f>
        <v>488750</v>
      </c>
      <c r="F12" s="6" t="n">
        <f aca="false">'Anchor Revenue'!F130</f>
        <v>0</v>
      </c>
      <c r="G12" s="6" t="n">
        <f aca="false">'Anchor Revenue'!G130</f>
        <v>0</v>
      </c>
    </row>
    <row r="13" customFormat="false" ht="15" hidden="false" customHeight="false" outlineLevel="0" collapsed="false">
      <c r="B13" s="10" t="s">
        <v>438</v>
      </c>
      <c r="C13" s="6" t="n">
        <f aca="false">'Anchor Revenue'!C131</f>
        <v>0</v>
      </c>
      <c r="D13" s="6" t="n">
        <f aca="false">'Anchor Revenue'!D131</f>
        <v>0</v>
      </c>
      <c r="E13" s="6" t="n">
        <f aca="false">'Anchor Revenue'!E131</f>
        <v>1211250</v>
      </c>
      <c r="F13" s="6" t="n">
        <f aca="false">'Anchor Revenue'!F131</f>
        <v>1700000</v>
      </c>
      <c r="G13" s="6" t="n">
        <f aca="false">'Anchor Revenue'!G131</f>
        <v>1700000</v>
      </c>
    </row>
    <row r="14" customFormat="false" ht="15" hidden="false" customHeight="false" outlineLevel="0" collapsed="false">
      <c r="B14" s="10" t="s">
        <v>439</v>
      </c>
      <c r="C14" s="6" t="n">
        <f aca="false">'Anchor Revenue'!C132</f>
        <v>0</v>
      </c>
      <c r="D14" s="6" t="n">
        <f aca="false">'Anchor Revenue'!D132</f>
        <v>168740.013</v>
      </c>
      <c r="E14" s="6" t="n">
        <f aca="false">'Anchor Revenue'!E132</f>
        <v>1375589.13483333</v>
      </c>
      <c r="F14" s="6" t="n">
        <f aca="false">'Anchor Revenue'!F132</f>
        <v>3792842.7095</v>
      </c>
      <c r="G14" s="6" t="n">
        <f aca="false">'Anchor Revenue'!G132</f>
        <v>5373420.26</v>
      </c>
    </row>
    <row r="15" customFormat="false" ht="15" hidden="false" customHeight="false" outlineLevel="0" collapsed="false">
      <c r="B15" s="10" t="s">
        <v>440</v>
      </c>
      <c r="C15" s="6" t="n">
        <f aca="false">'Anchor Revenue'!C133</f>
        <v>11520</v>
      </c>
      <c r="D15" s="6" t="n">
        <f aca="false">'Anchor Revenue'!D133</f>
        <v>307584</v>
      </c>
      <c r="E15" s="6" t="n">
        <f aca="false">'Anchor Revenue'!E133</f>
        <v>679296</v>
      </c>
      <c r="F15" s="6" t="n">
        <f aca="false">'Anchor Revenue'!F133</f>
        <v>768000</v>
      </c>
      <c r="G15" s="6" t="n">
        <f aca="false">'Anchor Revenue'!G133</f>
        <v>768000</v>
      </c>
    </row>
    <row r="16" customFormat="false" ht="15" hidden="false" customHeight="false" outlineLevel="0" collapsed="false">
      <c r="B16" s="10" t="s">
        <v>441</v>
      </c>
      <c r="C16" s="6" t="n">
        <f aca="false">'Anchor Revenue'!C134</f>
        <v>0</v>
      </c>
      <c r="D16" s="6" t="n">
        <f aca="false">'Anchor Revenue'!D134</f>
        <v>33480</v>
      </c>
      <c r="E16" s="6" t="n">
        <f aca="false">'Anchor Revenue'!E134</f>
        <v>275580</v>
      </c>
      <c r="F16" s="6" t="n">
        <f aca="false">'Anchor Revenue'!F134</f>
        <v>628740</v>
      </c>
      <c r="G16" s="6" t="n">
        <f aca="false">'Anchor Revenue'!G134</f>
        <v>720000</v>
      </c>
    </row>
    <row r="18" customFormat="false" ht="15" hidden="false" customHeight="false" outlineLevel="0" collapsed="false">
      <c r="B18" s="1" t="s">
        <v>534</v>
      </c>
      <c r="C18" s="21" t="n">
        <f aca="false">C10+C11+C12+C13+C14+C15+C16</f>
        <v>3585270</v>
      </c>
      <c r="D18" s="21" t="n">
        <f aca="false">D10+D11+D12+D13+D14+D15+D16</f>
        <v>4961054.013</v>
      </c>
      <c r="E18" s="21" t="n">
        <f aca="false">E10+E11+E12+E13+E14+E15+E16</f>
        <v>5255465.13483333</v>
      </c>
      <c r="F18" s="21" t="n">
        <f aca="false">F10+F11+F12+F13+F14+F15+F16</f>
        <v>6889582.7095</v>
      </c>
      <c r="G18" s="21" t="n">
        <f aca="false">G10+G11+G12+G13+G14+G15+G16</f>
        <v>8561420.26</v>
      </c>
    </row>
    <row r="19" customFormat="false" ht="15" hidden="false" customHeight="false" outlineLevel="0" collapsed="false">
      <c r="B19" s="10" t="s">
        <v>535</v>
      </c>
      <c r="C19" s="10"/>
      <c r="D19" s="18" t="n">
        <f aca="false">IF(C18=0,0,(D18-C18)/C18)</f>
        <v>0.383732330619451</v>
      </c>
      <c r="E19" s="18" t="n">
        <f aca="false">IF(D18=0,0,(E18-D18)/D18)</f>
        <v>0.059344470159336</v>
      </c>
      <c r="F19" s="18" t="n">
        <f aca="false">IF(E18=0,0,(F18-E18)/E18)</f>
        <v>0.310936812012262</v>
      </c>
      <c r="G19" s="18" t="n">
        <f aca="false">IF(F18=0,0,(G18-F18)/F18)</f>
        <v>0.242661656154402</v>
      </c>
    </row>
    <row r="21" customFormat="false" ht="15" hidden="false" customHeight="false" outlineLevel="0" collapsed="false">
      <c r="B21" s="1" t="s">
        <v>536</v>
      </c>
    </row>
    <row r="22" customFormat="false" ht="15" hidden="false" customHeight="false" outlineLevel="0" collapsed="false">
      <c r="B22" s="10" t="s">
        <v>537</v>
      </c>
      <c r="C22" s="8" t="n">
        <v>1</v>
      </c>
      <c r="D22" s="8" t="n">
        <v>2</v>
      </c>
      <c r="E22" s="8" t="n">
        <v>3</v>
      </c>
      <c r="F22" s="8" t="n">
        <v>4</v>
      </c>
      <c r="G22" s="8" t="n">
        <v>5</v>
      </c>
    </row>
    <row r="23" customFormat="false" ht="15" hidden="false" customHeight="false" outlineLevel="0" collapsed="false">
      <c r="B23" s="10" t="s">
        <v>538</v>
      </c>
      <c r="C23" s="26" t="n">
        <f aca="false">1/(1+$C$6)^C22</f>
        <v>0.8</v>
      </c>
      <c r="D23" s="26" t="n">
        <f aca="false">1/(1+$C$6)^D22</f>
        <v>0.64</v>
      </c>
      <c r="E23" s="26" t="n">
        <f aca="false">1/(1+$C$6)^E22</f>
        <v>0.512</v>
      </c>
      <c r="F23" s="26" t="n">
        <f aca="false">1/(1+$C$6)^F22</f>
        <v>0.4096</v>
      </c>
      <c r="G23" s="26" t="n">
        <f aca="false">1/(1+$C$6)^G22</f>
        <v>0.32768</v>
      </c>
    </row>
    <row r="24" customFormat="false" ht="15" hidden="false" customHeight="false" outlineLevel="0" collapsed="false">
      <c r="B24" s="10" t="s">
        <v>539</v>
      </c>
      <c r="C24" s="6" t="n">
        <f aca="false">C18*C23</f>
        <v>2868216</v>
      </c>
      <c r="D24" s="6" t="n">
        <f aca="false">D18*D23</f>
        <v>3175074.56832</v>
      </c>
      <c r="E24" s="6" t="n">
        <f aca="false">E18*E23</f>
        <v>2690798.14903467</v>
      </c>
      <c r="F24" s="6" t="n">
        <f aca="false">F18*F23</f>
        <v>2821973.0778112</v>
      </c>
      <c r="G24" s="6" t="n">
        <f aca="false">G18*G23</f>
        <v>2805406.1907968</v>
      </c>
    </row>
    <row r="26" customFormat="false" ht="15" hidden="false" customHeight="false" outlineLevel="0" collapsed="false">
      <c r="B26" s="10" t="s">
        <v>540</v>
      </c>
      <c r="G26" s="6" t="n">
        <f aca="false">G18*$C$7</f>
        <v>85614202.6</v>
      </c>
    </row>
    <row r="27" customFormat="false" ht="15" hidden="false" customHeight="false" outlineLevel="0" collapsed="false">
      <c r="B27" s="10" t="s">
        <v>541</v>
      </c>
      <c r="G27" s="6" t="n">
        <f aca="false">G26*G23</f>
        <v>28054061.907968</v>
      </c>
    </row>
    <row r="29" customFormat="false" ht="15" hidden="false" customHeight="false" outlineLevel="0" collapsed="false">
      <c r="B29" s="1" t="s">
        <v>542</v>
      </c>
    </row>
    <row r="30" customFormat="false" ht="15" hidden="false" customHeight="false" outlineLevel="0" collapsed="false">
      <c r="B30" s="10" t="s">
        <v>543</v>
      </c>
      <c r="C30" s="6" t="n">
        <f aca="false">SUM(C24:G24)</f>
        <v>14361467.9859627</v>
      </c>
    </row>
    <row r="31" customFormat="false" ht="15" hidden="false" customHeight="false" outlineLevel="0" collapsed="false">
      <c r="B31" s="10" t="s">
        <v>541</v>
      </c>
      <c r="C31" s="6" t="n">
        <f aca="false">G27</f>
        <v>28054061.907968</v>
      </c>
    </row>
    <row r="32" customFormat="false" ht="15" hidden="false" customHeight="false" outlineLevel="0" collapsed="false">
      <c r="B32" s="27" t="s">
        <v>544</v>
      </c>
      <c r="C32" s="28" t="n">
        <f aca="false">C30+C31</f>
        <v>42415529.8939307</v>
      </c>
    </row>
    <row r="35" customFormat="false" ht="17.35" hidden="false" customHeight="false" outlineLevel="0" collapsed="false">
      <c r="B35" s="20" t="s">
        <v>545</v>
      </c>
    </row>
    <row r="37" customFormat="false" ht="15" hidden="false" customHeight="false" outlineLevel="0" collapsed="false">
      <c r="B37" s="1" t="s">
        <v>546</v>
      </c>
    </row>
    <row r="38" customFormat="false" ht="15" hidden="false" customHeight="false" outlineLevel="0" collapsed="false">
      <c r="B38" s="10" t="s">
        <v>547</v>
      </c>
      <c r="C38" s="6" t="n">
        <f aca="false">C18</f>
        <v>3585270</v>
      </c>
      <c r="D38" s="6" t="n">
        <f aca="false">D18</f>
        <v>4961054.013</v>
      </c>
      <c r="E38" s="6" t="n">
        <f aca="false">E18</f>
        <v>5255465.13483333</v>
      </c>
      <c r="F38" s="6" t="n">
        <f aca="false">F18</f>
        <v>6889582.7095</v>
      </c>
      <c r="G38" s="6" t="n">
        <f aca="false">G18</f>
        <v>8561420.26</v>
      </c>
    </row>
    <row r="39" customFormat="false" ht="15" hidden="false" customHeight="false" outlineLevel="0" collapsed="false">
      <c r="B39" s="10" t="s">
        <v>548</v>
      </c>
      <c r="C39" s="6" t="n">
        <f aca="false">'Cost Forecast'!C49</f>
        <v>124200</v>
      </c>
      <c r="D39" s="6" t="n">
        <f aca="false">'Cost Forecast'!D49</f>
        <v>2265300</v>
      </c>
      <c r="E39" s="6" t="n">
        <f aca="false">'Cost Forecast'!E49</f>
        <v>3186000</v>
      </c>
      <c r="F39" s="6" t="n">
        <f aca="false">'Cost Forecast'!F49</f>
        <v>3186000</v>
      </c>
      <c r="G39" s="6" t="n">
        <f aca="false">'Cost Forecast'!G49</f>
        <v>3186000</v>
      </c>
    </row>
    <row r="40" customFormat="false" ht="15" hidden="false" customHeight="false" outlineLevel="0" collapsed="false">
      <c r="B40" s="1" t="s">
        <v>513</v>
      </c>
      <c r="C40" s="21" t="n">
        <f aca="false">C38-C39</f>
        <v>3461070</v>
      </c>
      <c r="D40" s="21" t="n">
        <f aca="false">D38-D39</f>
        <v>2695754.013</v>
      </c>
      <c r="E40" s="21" t="n">
        <f aca="false">E38-E39</f>
        <v>2069465.13483333</v>
      </c>
      <c r="F40" s="21" t="n">
        <f aca="false">F38-F39</f>
        <v>3703582.7095</v>
      </c>
      <c r="G40" s="21" t="n">
        <f aca="false">G38-G39</f>
        <v>5375420.26</v>
      </c>
    </row>
    <row r="41" customFormat="false" ht="15" hidden="false" customHeight="false" outlineLevel="0" collapsed="false">
      <c r="B41" s="10" t="s">
        <v>515</v>
      </c>
      <c r="C41" s="18" t="n">
        <f aca="false">IF(C38=0,0,C40/C38)</f>
        <v>0.965358257537089</v>
      </c>
      <c r="D41" s="18" t="n">
        <f aca="false">IF(D38=0,0,D40/D38)</f>
        <v>0.543383322563314</v>
      </c>
      <c r="E41" s="18" t="n">
        <f aca="false">IF(E38=0,0,E40/E38)</f>
        <v>0.393773925188253</v>
      </c>
      <c r="F41" s="18" t="n">
        <f aca="false">IF(F38=0,0,F40/F38)</f>
        <v>0.537562703818499</v>
      </c>
      <c r="G41" s="18" t="n">
        <f aca="false">IF(G38=0,0,G40/G38)</f>
        <v>0.627865482216148</v>
      </c>
    </row>
    <row r="42" customFormat="false" ht="15" hidden="false" customHeight="false" outlineLevel="0" collapsed="false">
      <c r="B42" s="10" t="s">
        <v>549</v>
      </c>
      <c r="C42" s="6" t="n">
        <f aca="false">IF(0&lt;Assumptions!$C$131,'Cost Forecast'!C48/Assumptions!$C$131,0)</f>
        <v>28520</v>
      </c>
      <c r="D42" s="6" t="n">
        <f aca="false">IF(1&lt;Assumptions!$C$131,'Cost Forecast'!C48/Assumptions!$C$131,0)+IF(0&lt;Assumptions!$C$131,'Cost Forecast'!D48/Assumptions!$C$131,0)</f>
        <v>182900</v>
      </c>
      <c r="E42" s="6" t="n">
        <f aca="false">IF(2&lt;Assumptions!$C$131,'Cost Forecast'!C48/Assumptions!$C$131,0)+IF(1&lt;Assumptions!$C$131,'Cost Forecast'!D48/Assumptions!$C$131,0)+IF(0&lt;Assumptions!$C$131,'Cost Forecast'!E48/Assumptions!$C$131,0)</f>
        <v>182900</v>
      </c>
      <c r="F42" s="6" t="n">
        <f aca="false">IF(3&lt;Assumptions!$C$131,'Cost Forecast'!C48/Assumptions!$C$131,0)+IF(2&lt;Assumptions!$C$131,'Cost Forecast'!D48/Assumptions!$C$131,0)+IF(1&lt;Assumptions!$C$131,'Cost Forecast'!E48/Assumptions!$C$131,0)+IF(0&lt;Assumptions!$C$131,'Cost Forecast'!F48/Assumptions!$C$131,0)</f>
        <v>182900</v>
      </c>
      <c r="G42" s="6" t="n">
        <f aca="false">IF(4&lt;Assumptions!$C$131,'Cost Forecast'!C48/Assumptions!$C$131,0)+IF(3&lt;Assumptions!$C$131,'Cost Forecast'!D48/Assumptions!$C$131,0)+IF(2&lt;Assumptions!$C$131,'Cost Forecast'!E48/Assumptions!$C$131,0)+IF(1&lt;Assumptions!$C$131,'Cost Forecast'!F48/Assumptions!$C$131,0)+IF(0&lt;Assumptions!$C$131,'Cost Forecast'!G48/Assumptions!$C$131,0)</f>
        <v>182900</v>
      </c>
    </row>
    <row r="43" customFormat="false" ht="15" hidden="false" customHeight="false" outlineLevel="0" collapsed="false">
      <c r="B43" s="10" t="s">
        <v>521</v>
      </c>
      <c r="C43" s="6" t="n">
        <f aca="false">C38*Assumptions!$C$129</f>
        <v>430232.4</v>
      </c>
      <c r="D43" s="6" t="n">
        <f aca="false">D38*Assumptions!$C$129</f>
        <v>595326.48156</v>
      </c>
      <c r="E43" s="6" t="n">
        <f aca="false">E38*Assumptions!$C$129</f>
        <v>630655.81618</v>
      </c>
      <c r="F43" s="6" t="n">
        <f aca="false">F38*Assumptions!$C$129</f>
        <v>826749.92514</v>
      </c>
      <c r="G43" s="6" t="n">
        <f aca="false">G38*Assumptions!$C$129</f>
        <v>1027370.4312</v>
      </c>
    </row>
    <row r="44" customFormat="false" ht="15" hidden="false" customHeight="false" outlineLevel="0" collapsed="false">
      <c r="B44" s="10" t="s">
        <v>522</v>
      </c>
      <c r="C44" s="6" t="n">
        <f aca="false">C38*Assumptions!$C$130</f>
        <v>896317.5</v>
      </c>
      <c r="D44" s="6" t="n">
        <f aca="false">D38*Assumptions!$C$130</f>
        <v>1240263.50325</v>
      </c>
      <c r="E44" s="6" t="n">
        <f aca="false">E38*Assumptions!$C$130</f>
        <v>1313866.28370833</v>
      </c>
      <c r="F44" s="6" t="n">
        <f aca="false">F38*Assumptions!$C$130</f>
        <v>1722395.677375</v>
      </c>
      <c r="G44" s="6" t="n">
        <f aca="false">G38*Assumptions!$C$130</f>
        <v>2140355.065</v>
      </c>
    </row>
    <row r="45" customFormat="false" ht="15" hidden="false" customHeight="false" outlineLevel="0" collapsed="false">
      <c r="B45" s="1" t="s">
        <v>524</v>
      </c>
      <c r="C45" s="21" t="n">
        <f aca="false">C40-C42-C43-C44</f>
        <v>2106000.1</v>
      </c>
      <c r="D45" s="21" t="n">
        <f aca="false">D40-D42-D43-D44</f>
        <v>677264.02819</v>
      </c>
      <c r="E45" s="21" t="n">
        <f aca="false">E40-E42-E43-E44</f>
        <v>-57956.9650550003</v>
      </c>
      <c r="F45" s="21" t="n">
        <f aca="false">F40-F42-F43-F44</f>
        <v>971537.106985</v>
      </c>
      <c r="G45" s="21" t="n">
        <f aca="false">G40-G42-G43-G44</f>
        <v>2024794.7638</v>
      </c>
    </row>
    <row r="46" customFormat="false" ht="15" hidden="false" customHeight="false" outlineLevel="0" collapsed="false">
      <c r="B46" s="10" t="s">
        <v>526</v>
      </c>
      <c r="C46" s="18" t="n">
        <f aca="false">IF(C38=0,0,C45/C38)</f>
        <v>0.587403487045606</v>
      </c>
      <c r="D46" s="18" t="n">
        <f aca="false">IF(D38=0,0,D45/D38)</f>
        <v>0.136516156932638</v>
      </c>
      <c r="E46" s="18" t="n">
        <f aca="false">IF(E38=0,0,E45/E38)</f>
        <v>-0.0110279420694584</v>
      </c>
      <c r="F46" s="18" t="n">
        <f aca="false">IF(F38=0,0,F45/F38)</f>
        <v>0.141015377556228</v>
      </c>
      <c r="G46" s="18" t="n">
        <f aca="false">IF(G38=0,0,G45/G38)</f>
        <v>0.236502204343371</v>
      </c>
    </row>
    <row r="48" customFormat="false" ht="15" hidden="false" customHeight="false" outlineLevel="0" collapsed="false">
      <c r="B48" s="1" t="s">
        <v>550</v>
      </c>
    </row>
    <row r="49" customFormat="false" ht="15" hidden="false" customHeight="false" outlineLevel="0" collapsed="false">
      <c r="B49" s="10" t="s">
        <v>537</v>
      </c>
      <c r="C49" s="8" t="n">
        <v>1</v>
      </c>
      <c r="D49" s="8" t="n">
        <v>2</v>
      </c>
      <c r="E49" s="8" t="n">
        <v>3</v>
      </c>
      <c r="F49" s="8" t="n">
        <v>4</v>
      </c>
      <c r="G49" s="8" t="n">
        <v>5</v>
      </c>
    </row>
    <row r="50" customFormat="false" ht="15" hidden="false" customHeight="false" outlineLevel="0" collapsed="false">
      <c r="B50" s="10" t="s">
        <v>538</v>
      </c>
      <c r="C50" s="26" t="n">
        <f aca="false">1/(1+$C$6)^C49</f>
        <v>0.8</v>
      </c>
      <c r="D50" s="26" t="n">
        <f aca="false">1/(1+$C$6)^D49</f>
        <v>0.64</v>
      </c>
      <c r="E50" s="26" t="n">
        <f aca="false">1/(1+$C$6)^E49</f>
        <v>0.512</v>
      </c>
      <c r="F50" s="26" t="n">
        <f aca="false">1/(1+$C$6)^F49</f>
        <v>0.4096</v>
      </c>
      <c r="G50" s="26" t="n">
        <f aca="false">1/(1+$C$6)^G49</f>
        <v>0.32768</v>
      </c>
    </row>
    <row r="51" customFormat="false" ht="15" hidden="false" customHeight="false" outlineLevel="0" collapsed="false">
      <c r="B51" s="10" t="s">
        <v>551</v>
      </c>
      <c r="C51" s="6" t="n">
        <f aca="false">C45*C50</f>
        <v>1684800.08</v>
      </c>
      <c r="D51" s="6" t="n">
        <f aca="false">D45*D50</f>
        <v>433448.9780416</v>
      </c>
      <c r="E51" s="6" t="n">
        <f aca="false">E45*E50</f>
        <v>-29673.9661081601</v>
      </c>
      <c r="F51" s="6" t="n">
        <f aca="false">F45*F50</f>
        <v>397941.599021056</v>
      </c>
      <c r="G51" s="6" t="n">
        <f aca="false">G45*G50</f>
        <v>663484.748201984</v>
      </c>
    </row>
    <row r="53" customFormat="false" ht="15" hidden="false" customHeight="false" outlineLevel="0" collapsed="false">
      <c r="B53" s="10" t="s">
        <v>552</v>
      </c>
      <c r="G53" s="6" t="n">
        <f aca="false">G45*Assumptions!$C$132</f>
        <v>24297537.1656</v>
      </c>
    </row>
    <row r="54" customFormat="false" ht="15" hidden="false" customHeight="false" outlineLevel="0" collapsed="false">
      <c r="B54" s="10" t="s">
        <v>541</v>
      </c>
      <c r="G54" s="6" t="n">
        <f aca="false">G53*G50</f>
        <v>7961816.97842381</v>
      </c>
    </row>
    <row r="56" customFormat="false" ht="15" hidden="false" customHeight="false" outlineLevel="0" collapsed="false">
      <c r="B56" s="1" t="s">
        <v>553</v>
      </c>
    </row>
    <row r="57" customFormat="false" ht="15" hidden="false" customHeight="false" outlineLevel="0" collapsed="false">
      <c r="B57" s="10" t="s">
        <v>554</v>
      </c>
      <c r="C57" s="6" t="n">
        <f aca="false">SUM(C51:G51)</f>
        <v>3150001.43915648</v>
      </c>
    </row>
    <row r="58" customFormat="false" ht="15" hidden="false" customHeight="false" outlineLevel="0" collapsed="false">
      <c r="B58" s="10" t="s">
        <v>541</v>
      </c>
      <c r="C58" s="6" t="n">
        <f aca="false">G54</f>
        <v>7961816.97842381</v>
      </c>
    </row>
    <row r="59" customFormat="false" ht="15" hidden="false" customHeight="false" outlineLevel="0" collapsed="false">
      <c r="B59" s="27" t="s">
        <v>555</v>
      </c>
      <c r="C59" s="28" t="n">
        <f aca="false">C57+C58</f>
        <v>11111818.4175803</v>
      </c>
    </row>
    <row r="61" customFormat="false" ht="15" hidden="false" customHeight="false" outlineLevel="0" collapsed="false">
      <c r="B61" s="1" t="s">
        <v>556</v>
      </c>
    </row>
    <row r="62" customFormat="false" ht="15" hidden="false" customHeight="false" outlineLevel="0" collapsed="false">
      <c r="B62" s="10" t="s">
        <v>557</v>
      </c>
      <c r="C62" s="6" t="n">
        <f aca="false">C32</f>
        <v>42415529.8939307</v>
      </c>
    </row>
    <row r="63" customFormat="false" ht="15" hidden="false" customHeight="false" outlineLevel="0" collapsed="false">
      <c r="B63" s="10" t="s">
        <v>558</v>
      </c>
      <c r="C63" s="6" t="n">
        <f aca="false">C59</f>
        <v>11111818.4175803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33"/>
    <pageSetUpPr fitToPage="false"/>
  </sheetPr>
  <dimension ref="B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20" t="s">
        <v>559</v>
      </c>
    </row>
    <row r="3" customFormat="false" ht="15" hidden="false" customHeight="false" outlineLevel="0" collapsed="false">
      <c r="C3" s="2" t="s">
        <v>431</v>
      </c>
      <c r="D3" s="2" t="s">
        <v>432</v>
      </c>
      <c r="E3" s="2" t="s">
        <v>433</v>
      </c>
      <c r="F3" s="2" t="s">
        <v>434</v>
      </c>
      <c r="G3" s="2" t="s">
        <v>435</v>
      </c>
    </row>
    <row r="5" customFormat="false" ht="15" hidden="false" customHeight="false" outlineLevel="0" collapsed="false">
      <c r="B5" s="1" t="s">
        <v>531</v>
      </c>
    </row>
    <row r="6" customFormat="false" ht="15" hidden="false" customHeight="false" outlineLevel="0" collapsed="false">
      <c r="B6" s="0" t="s">
        <v>532</v>
      </c>
      <c r="C6" s="9" t="n">
        <v>0.25</v>
      </c>
    </row>
    <row r="7" customFormat="false" ht="15" hidden="false" customHeight="false" outlineLevel="0" collapsed="false">
      <c r="B7" s="0" t="s">
        <v>533</v>
      </c>
      <c r="C7" s="19" t="n">
        <v>10</v>
      </c>
    </row>
    <row r="9" customFormat="false" ht="15" hidden="false" customHeight="false" outlineLevel="0" collapsed="false">
      <c r="B9" s="1" t="s">
        <v>507</v>
      </c>
    </row>
    <row r="10" customFormat="false" ht="15" hidden="false" customHeight="false" outlineLevel="0" collapsed="false">
      <c r="B10" s="10" t="s">
        <v>560</v>
      </c>
      <c r="C10" s="6" t="n">
        <f aca="false">'Combined Summary'!C5</f>
        <v>2846520</v>
      </c>
      <c r="D10" s="6" t="n">
        <f aca="false">'Combined Summary'!D5</f>
        <v>3449804.013</v>
      </c>
      <c r="E10" s="6" t="n">
        <f aca="false">'Combined Summary'!E5</f>
        <v>4766715.13483333</v>
      </c>
      <c r="F10" s="6" t="n">
        <f aca="false">'Combined Summary'!F5</f>
        <v>6889582.7095</v>
      </c>
      <c r="G10" s="6" t="n">
        <f aca="false">'Combined Summary'!G5</f>
        <v>8561420.26</v>
      </c>
    </row>
    <row r="11" customFormat="false" ht="15" hidden="false" customHeight="false" outlineLevel="0" collapsed="false">
      <c r="B11" s="10" t="s">
        <v>470</v>
      </c>
      <c r="C11" s="6" t="n">
        <f aca="false">'Combined Summary'!C7</f>
        <v>0</v>
      </c>
      <c r="D11" s="6" t="n">
        <f aca="false">'Combined Summary'!D7</f>
        <v>0</v>
      </c>
      <c r="E11" s="6" t="n">
        <f aca="false">'Combined Summary'!E7</f>
        <v>2542770</v>
      </c>
      <c r="F11" s="6" t="n">
        <f aca="false">'Combined Summary'!F7</f>
        <v>8557177.584</v>
      </c>
      <c r="G11" s="6" t="n">
        <f aca="false">'Combined Summary'!G7</f>
        <v>20926880.256</v>
      </c>
    </row>
    <row r="13" customFormat="false" ht="15" hidden="false" customHeight="false" outlineLevel="0" collapsed="false">
      <c r="B13" s="1" t="s">
        <v>472</v>
      </c>
      <c r="C13" s="21" t="n">
        <f aca="false">C10+C11</f>
        <v>2846520</v>
      </c>
      <c r="D13" s="21" t="n">
        <f aca="false">D10+D11</f>
        <v>3449804.013</v>
      </c>
      <c r="E13" s="21" t="n">
        <f aca="false">E10+E11</f>
        <v>7309485.13483333</v>
      </c>
      <c r="F13" s="21" t="n">
        <f aca="false">F10+F11</f>
        <v>15446760.2935</v>
      </c>
      <c r="G13" s="21" t="n">
        <f aca="false">G10+G11</f>
        <v>29488300.516</v>
      </c>
    </row>
    <row r="14" customFormat="false" ht="15" hidden="false" customHeight="false" outlineLevel="0" collapsed="false">
      <c r="B14" s="10" t="s">
        <v>535</v>
      </c>
      <c r="D14" s="18" t="n">
        <f aca="false">IF(C13=0,0,(D13-C13)/C13)</f>
        <v>0.211937387757683</v>
      </c>
      <c r="E14" s="18" t="n">
        <f aca="false">IF(D13=0,0,(E13-D13)/D13)</f>
        <v>1.118811708517</v>
      </c>
      <c r="F14" s="18" t="n">
        <f aca="false">IF(E13=0,0,(F13-E13)/E13)</f>
        <v>1.11324874578218</v>
      </c>
      <c r="G14" s="18" t="n">
        <f aca="false">IF(F13=0,0,(G13-F13)/F13)</f>
        <v>0.909028168735724</v>
      </c>
    </row>
    <row r="16" customFormat="false" ht="15" hidden="false" customHeight="false" outlineLevel="0" collapsed="false">
      <c r="B16" s="1" t="s">
        <v>536</v>
      </c>
    </row>
    <row r="17" customFormat="false" ht="15" hidden="false" customHeight="false" outlineLevel="0" collapsed="false">
      <c r="B17" s="10" t="s">
        <v>537</v>
      </c>
      <c r="C17" s="8" t="n">
        <v>1</v>
      </c>
      <c r="D17" s="8" t="n">
        <v>2</v>
      </c>
      <c r="E17" s="8" t="n">
        <v>3</v>
      </c>
      <c r="F17" s="8" t="n">
        <v>4</v>
      </c>
      <c r="G17" s="8" t="n">
        <v>5</v>
      </c>
    </row>
    <row r="18" customFormat="false" ht="15" hidden="false" customHeight="false" outlineLevel="0" collapsed="false">
      <c r="B18" s="10" t="s">
        <v>538</v>
      </c>
      <c r="C18" s="26" t="n">
        <f aca="false">1/(1+$C$6)^C17</f>
        <v>0.8</v>
      </c>
      <c r="D18" s="26" t="n">
        <f aca="false">1/(1+$C$6)^D17</f>
        <v>0.64</v>
      </c>
      <c r="E18" s="26" t="n">
        <f aca="false">1/(1+$C$6)^E17</f>
        <v>0.512</v>
      </c>
      <c r="F18" s="26" t="n">
        <f aca="false">1/(1+$C$6)^F17</f>
        <v>0.4096</v>
      </c>
      <c r="G18" s="26" t="n">
        <f aca="false">1/(1+$C$6)^G17</f>
        <v>0.32768</v>
      </c>
    </row>
    <row r="19" customFormat="false" ht="15" hidden="false" customHeight="false" outlineLevel="0" collapsed="false">
      <c r="B19" s="10" t="s">
        <v>539</v>
      </c>
      <c r="C19" s="6" t="n">
        <f aca="false">C13*C18</f>
        <v>2277216</v>
      </c>
      <c r="D19" s="6" t="n">
        <f aca="false">D13*D18</f>
        <v>2207874.56832</v>
      </c>
      <c r="E19" s="6" t="n">
        <f aca="false">E13*E18</f>
        <v>3742456.38903467</v>
      </c>
      <c r="F19" s="6" t="n">
        <f aca="false">F13*F18</f>
        <v>6326993.0162176</v>
      </c>
      <c r="G19" s="6" t="n">
        <f aca="false">G13*G18</f>
        <v>9662726.31308288</v>
      </c>
    </row>
    <row r="21" customFormat="false" ht="15" hidden="false" customHeight="false" outlineLevel="0" collapsed="false">
      <c r="B21" s="10" t="s">
        <v>540</v>
      </c>
      <c r="G21" s="6" t="n">
        <f aca="false">G13*$C$7</f>
        <v>294883005.16</v>
      </c>
    </row>
    <row r="22" customFormat="false" ht="15" hidden="false" customHeight="false" outlineLevel="0" collapsed="false">
      <c r="B22" s="10" t="s">
        <v>541</v>
      </c>
      <c r="G22" s="6" t="n">
        <f aca="false">G21*G18</f>
        <v>96627263.1308288</v>
      </c>
    </row>
    <row r="24" customFormat="false" ht="15" hidden="false" customHeight="false" outlineLevel="0" collapsed="false">
      <c r="B24" s="1" t="s">
        <v>542</v>
      </c>
    </row>
    <row r="25" customFormat="false" ht="15" hidden="false" customHeight="false" outlineLevel="0" collapsed="false">
      <c r="B25" s="10" t="s">
        <v>543</v>
      </c>
      <c r="C25" s="6" t="n">
        <f aca="false">SUM(C19:G19)</f>
        <v>24217266.2866552</v>
      </c>
    </row>
    <row r="26" customFormat="false" ht="15" hidden="false" customHeight="false" outlineLevel="0" collapsed="false">
      <c r="B26" s="10" t="s">
        <v>541</v>
      </c>
      <c r="C26" s="6" t="n">
        <f aca="false">G22</f>
        <v>96627263.1308288</v>
      </c>
    </row>
    <row r="27" customFormat="false" ht="15" hidden="false" customHeight="false" outlineLevel="0" collapsed="false">
      <c r="B27" s="27" t="s">
        <v>544</v>
      </c>
      <c r="C27" s="28" t="n">
        <f aca="false">C25+C26</f>
        <v>120844529.417484</v>
      </c>
    </row>
    <row r="30" customFormat="false" ht="17.35" hidden="false" customHeight="false" outlineLevel="0" collapsed="false">
      <c r="B30" s="20" t="s">
        <v>545</v>
      </c>
    </row>
    <row r="32" customFormat="false" ht="15" hidden="false" customHeight="false" outlineLevel="0" collapsed="false">
      <c r="B32" s="1" t="s">
        <v>546</v>
      </c>
    </row>
    <row r="33" customFormat="false" ht="15" hidden="false" customHeight="false" outlineLevel="0" collapsed="false">
      <c r="B33" s="10" t="s">
        <v>547</v>
      </c>
      <c r="C33" s="6" t="n">
        <f aca="false">C13</f>
        <v>2846520</v>
      </c>
      <c r="D33" s="6" t="n">
        <f aca="false">D13</f>
        <v>3449804.013</v>
      </c>
      <c r="E33" s="6" t="n">
        <f aca="false">E13</f>
        <v>7309485.13483333</v>
      </c>
      <c r="F33" s="6" t="n">
        <f aca="false">F13</f>
        <v>15446760.2935</v>
      </c>
      <c r="G33" s="6" t="n">
        <f aca="false">G13</f>
        <v>29488300.516</v>
      </c>
    </row>
    <row r="34" customFormat="false" ht="15" hidden="false" customHeight="false" outlineLevel="0" collapsed="false">
      <c r="B34" s="10" t="s">
        <v>561</v>
      </c>
      <c r="C34" s="6" t="n">
        <f aca="false">'Cost Forecast'!C49+'Cost Forecast'!C51</f>
        <v>124200</v>
      </c>
      <c r="D34" s="6" t="n">
        <f aca="false">'Cost Forecast'!D49+'Cost Forecast'!D51</f>
        <v>2265300</v>
      </c>
      <c r="E34" s="6" t="n">
        <f aca="false">'Cost Forecast'!E49+'Cost Forecast'!E51</f>
        <v>3310200</v>
      </c>
      <c r="F34" s="6" t="n">
        <f aca="false">'Cost Forecast'!F49+'Cost Forecast'!F51</f>
        <v>6663600</v>
      </c>
      <c r="G34" s="6" t="n">
        <f aca="false">'Cost Forecast'!G49+'Cost Forecast'!G51</f>
        <v>13743000</v>
      </c>
    </row>
    <row r="35" customFormat="false" ht="15" hidden="false" customHeight="false" outlineLevel="0" collapsed="false">
      <c r="B35" s="1" t="s">
        <v>513</v>
      </c>
      <c r="C35" s="21" t="n">
        <f aca="false">C33-C34</f>
        <v>2722320</v>
      </c>
      <c r="D35" s="21" t="n">
        <f aca="false">D33-D34</f>
        <v>1184504.013</v>
      </c>
      <c r="E35" s="21" t="n">
        <f aca="false">E33-E34</f>
        <v>3999285.13483333</v>
      </c>
      <c r="F35" s="21" t="n">
        <f aca="false">F33-F34</f>
        <v>8783160.2935</v>
      </c>
      <c r="G35" s="21" t="n">
        <f aca="false">G33-G34</f>
        <v>15745300.516</v>
      </c>
    </row>
    <row r="36" customFormat="false" ht="15" hidden="false" customHeight="false" outlineLevel="0" collapsed="false">
      <c r="B36" s="10" t="s">
        <v>515</v>
      </c>
      <c r="C36" s="18" t="n">
        <f aca="false">IF(C33=0,0,C35/C33)</f>
        <v>0.956367775388896</v>
      </c>
      <c r="D36" s="18" t="n">
        <f aca="false">IF(D33=0,0,D35/D33)</f>
        <v>0.343354001716155</v>
      </c>
      <c r="E36" s="18" t="n">
        <f aca="false">IF(E33=0,0,E35/E33)</f>
        <v>0.547136366113497</v>
      </c>
      <c r="F36" s="18" t="n">
        <f aca="false">IF(F33=0,0,F35/F33)</f>
        <v>0.568608570769105</v>
      </c>
      <c r="G36" s="18" t="n">
        <f aca="false">IF(G33=0,0,G35/G33)</f>
        <v>0.53395076150478</v>
      </c>
    </row>
    <row r="37" customFormat="false" ht="15" hidden="false" customHeight="false" outlineLevel="0" collapsed="false">
      <c r="B37" s="10" t="s">
        <v>549</v>
      </c>
      <c r="C37" s="6" t="n">
        <f aca="false">IF(0&lt;Assumptions!$C$131,('Cost Forecast'!C48+'Cost Forecast'!C50)/Assumptions!$C$131,0)</f>
        <v>28520</v>
      </c>
      <c r="D37" s="6" t="n">
        <f aca="false">IF(1&lt;Assumptions!$C$131,('Cost Forecast'!C48+'Cost Forecast'!C50)/Assumptions!$C$131,0)+IF(0&lt;Assumptions!$C$131,('Cost Forecast'!D48+'Cost Forecast'!D50)/Assumptions!$C$131,0)</f>
        <v>182900</v>
      </c>
      <c r="E37" s="6" t="n">
        <f aca="false">IF(2&lt;Assumptions!$C$131,('Cost Forecast'!C48+'Cost Forecast'!C50)/Assumptions!$C$131,0)+IF(1&lt;Assumptions!$C$131,('Cost Forecast'!D48+'Cost Forecast'!D50)/Assumptions!$C$131,0)+IF(0&lt;Assumptions!$C$131,('Cost Forecast'!E48+'Cost Forecast'!E50)/Assumptions!$C$131,0)</f>
        <v>211420</v>
      </c>
      <c r="F37" s="6" t="n">
        <f aca="false">IF(3&lt;Assumptions!$C$131,('Cost Forecast'!C48+'Cost Forecast'!C50)/Assumptions!$C$131,0)+IF(2&lt;Assumptions!$C$131,('Cost Forecast'!D48+'Cost Forecast'!D50)/Assumptions!$C$131,0)+IF(1&lt;Assumptions!$C$131,('Cost Forecast'!E48+'Cost Forecast'!E50)/Assumptions!$C$131,0)+IF(0&lt;Assumptions!$C$131,('Cost Forecast'!F48+'Cost Forecast'!F50)/Assumptions!$C$131,0)</f>
        <v>525140</v>
      </c>
      <c r="G37" s="6" t="n">
        <f aca="false">IF(4&lt;Assumptions!$C$131,('Cost Forecast'!C48+'Cost Forecast'!C50)/Assumptions!$C$131,0)+IF(3&lt;Assumptions!$C$131,('Cost Forecast'!D48+'Cost Forecast'!D50)/Assumptions!$C$131,0)+IF(2&lt;Assumptions!$C$131,('Cost Forecast'!E48+'Cost Forecast'!E50)/Assumptions!$C$131,0)+IF(1&lt;Assumptions!$C$131,('Cost Forecast'!F48+'Cost Forecast'!F50)/Assumptions!$C$131,0)+IF(0&lt;Assumptions!$C$131,('Cost Forecast'!G48+'Cost Forecast'!G50)/Assumptions!$C$131,0)</f>
        <v>981460</v>
      </c>
    </row>
    <row r="38" customFormat="false" ht="15" hidden="false" customHeight="false" outlineLevel="0" collapsed="false">
      <c r="B38" s="10" t="s">
        <v>521</v>
      </c>
      <c r="C38" s="6" t="n">
        <f aca="false">C33*Assumptions!$C$129</f>
        <v>341582.4</v>
      </c>
      <c r="D38" s="6" t="n">
        <f aca="false">D33*Assumptions!$C$129</f>
        <v>413976.48156</v>
      </c>
      <c r="E38" s="6" t="n">
        <f aca="false">E33*Assumptions!$C$129</f>
        <v>877138.21618</v>
      </c>
      <c r="F38" s="6" t="n">
        <f aca="false">F33*Assumptions!$C$129</f>
        <v>1853611.23522</v>
      </c>
      <c r="G38" s="6" t="n">
        <f aca="false">G33*Assumptions!$C$129</f>
        <v>3538596.06192</v>
      </c>
    </row>
    <row r="39" customFormat="false" ht="15" hidden="false" customHeight="false" outlineLevel="0" collapsed="false">
      <c r="B39" s="10" t="s">
        <v>522</v>
      </c>
      <c r="C39" s="6" t="n">
        <f aca="false">C33*Assumptions!$C$130</f>
        <v>711630</v>
      </c>
      <c r="D39" s="6" t="n">
        <f aca="false">D33*Assumptions!$C$130</f>
        <v>862451.00325</v>
      </c>
      <c r="E39" s="6" t="n">
        <f aca="false">E33*Assumptions!$C$130</f>
        <v>1827371.28370833</v>
      </c>
      <c r="F39" s="6" t="n">
        <f aca="false">F33*Assumptions!$C$130</f>
        <v>3861690.073375</v>
      </c>
      <c r="G39" s="6" t="n">
        <f aca="false">G33*Assumptions!$C$130</f>
        <v>7372075.129</v>
      </c>
    </row>
    <row r="40" customFormat="false" ht="15" hidden="false" customHeight="false" outlineLevel="0" collapsed="false">
      <c r="B40" s="1" t="s">
        <v>524</v>
      </c>
      <c r="C40" s="21" t="n">
        <f aca="false">C35-C37-C38-C39</f>
        <v>1640587.6</v>
      </c>
      <c r="D40" s="21" t="n">
        <f aca="false">D35-D37-D38-D39</f>
        <v>-274823.47181</v>
      </c>
      <c r="E40" s="21" t="n">
        <f aca="false">E35-E37-E38-E39</f>
        <v>1083355.634945</v>
      </c>
      <c r="F40" s="21" t="n">
        <f aca="false">F35-F37-F38-F39</f>
        <v>2542718.984905</v>
      </c>
      <c r="G40" s="21" t="n">
        <f aca="false">G35-G37-G38-G39</f>
        <v>3853169.32508</v>
      </c>
    </row>
    <row r="41" customFormat="false" ht="15" hidden="false" customHeight="false" outlineLevel="0" collapsed="false">
      <c r="B41" s="10" t="s">
        <v>526</v>
      </c>
      <c r="C41" s="18" t="n">
        <f aca="false">IF(C33=0,0,C40/C33)</f>
        <v>0.576348523811531</v>
      </c>
      <c r="D41" s="18" t="n">
        <f aca="false">IF(D33=0,0,D40/D33)</f>
        <v>-0.0796635028466471</v>
      </c>
      <c r="E41" s="18" t="n">
        <f aca="false">IF(E33=0,0,E40/E33)</f>
        <v>0.148212304281497</v>
      </c>
      <c r="F41" s="18" t="n">
        <f aca="false">IF(F33=0,0,F40/F33)</f>
        <v>0.164611797981676</v>
      </c>
      <c r="G41" s="18" t="n">
        <f aca="false">IF(G33=0,0,G40/G33)</f>
        <v>0.130667731190182</v>
      </c>
    </row>
    <row r="43" customFormat="false" ht="15" hidden="false" customHeight="false" outlineLevel="0" collapsed="false">
      <c r="B43" s="1" t="s">
        <v>550</v>
      </c>
    </row>
    <row r="44" customFormat="false" ht="15" hidden="false" customHeight="false" outlineLevel="0" collapsed="false">
      <c r="B44" s="10" t="s">
        <v>537</v>
      </c>
      <c r="C44" s="8" t="n">
        <v>1</v>
      </c>
      <c r="D44" s="8" t="n">
        <v>2</v>
      </c>
      <c r="E44" s="8" t="n">
        <v>3</v>
      </c>
      <c r="F44" s="8" t="n">
        <v>4</v>
      </c>
      <c r="G44" s="8" t="n">
        <v>5</v>
      </c>
    </row>
    <row r="45" customFormat="false" ht="15" hidden="false" customHeight="false" outlineLevel="0" collapsed="false">
      <c r="B45" s="10" t="s">
        <v>538</v>
      </c>
      <c r="C45" s="26" t="n">
        <f aca="false">1/(1+$C$6)^C44</f>
        <v>0.8</v>
      </c>
      <c r="D45" s="26" t="n">
        <f aca="false">1/(1+$C$6)^D44</f>
        <v>0.64</v>
      </c>
      <c r="E45" s="26" t="n">
        <f aca="false">1/(1+$C$6)^E44</f>
        <v>0.512</v>
      </c>
      <c r="F45" s="26" t="n">
        <f aca="false">1/(1+$C$6)^F44</f>
        <v>0.4096</v>
      </c>
      <c r="G45" s="26" t="n">
        <f aca="false">1/(1+$C$6)^G44</f>
        <v>0.32768</v>
      </c>
    </row>
    <row r="46" customFormat="false" ht="15" hidden="false" customHeight="false" outlineLevel="0" collapsed="false">
      <c r="B46" s="10" t="s">
        <v>551</v>
      </c>
      <c r="C46" s="6" t="n">
        <f aca="false">C40*C45</f>
        <v>1312470.08</v>
      </c>
      <c r="D46" s="6" t="n">
        <f aca="false">D40*D45</f>
        <v>-175887.0219584</v>
      </c>
      <c r="E46" s="6" t="n">
        <f aca="false">E40*E45</f>
        <v>554678.08509184</v>
      </c>
      <c r="F46" s="6" t="n">
        <f aca="false">F40*F45</f>
        <v>1041497.69621709</v>
      </c>
      <c r="G46" s="6" t="n">
        <f aca="false">G40*G45</f>
        <v>1262606.52444222</v>
      </c>
    </row>
    <row r="48" customFormat="false" ht="15" hidden="false" customHeight="false" outlineLevel="0" collapsed="false">
      <c r="B48" s="10" t="s">
        <v>552</v>
      </c>
      <c r="G48" s="6" t="n">
        <f aca="false">G40*Assumptions!$C$132</f>
        <v>46238031.90096</v>
      </c>
    </row>
    <row r="49" customFormat="false" ht="15" hidden="false" customHeight="false" outlineLevel="0" collapsed="false">
      <c r="B49" s="10" t="s">
        <v>541</v>
      </c>
      <c r="G49" s="6" t="n">
        <f aca="false">G48*G45</f>
        <v>15151278.2933066</v>
      </c>
    </row>
    <row r="51" customFormat="false" ht="15" hidden="false" customHeight="false" outlineLevel="0" collapsed="false">
      <c r="B51" s="1" t="s">
        <v>553</v>
      </c>
    </row>
    <row r="52" customFormat="false" ht="15" hidden="false" customHeight="false" outlineLevel="0" collapsed="false">
      <c r="B52" s="10" t="s">
        <v>554</v>
      </c>
      <c r="C52" s="6" t="n">
        <f aca="false">SUM(C46:G46)</f>
        <v>3995365.36379274</v>
      </c>
    </row>
    <row r="53" customFormat="false" ht="15" hidden="false" customHeight="false" outlineLevel="0" collapsed="false">
      <c r="B53" s="10" t="s">
        <v>541</v>
      </c>
      <c r="C53" s="6" t="n">
        <f aca="false">G49</f>
        <v>15151278.2933066</v>
      </c>
    </row>
    <row r="54" customFormat="false" ht="15" hidden="false" customHeight="false" outlineLevel="0" collapsed="false">
      <c r="B54" s="27" t="s">
        <v>555</v>
      </c>
      <c r="C54" s="28" t="n">
        <f aca="false">C52+C53</f>
        <v>19146643.6570993</v>
      </c>
    </row>
    <row r="56" customFormat="false" ht="15" hidden="false" customHeight="false" outlineLevel="0" collapsed="false">
      <c r="B56" s="1" t="s">
        <v>556</v>
      </c>
    </row>
    <row r="57" customFormat="false" ht="15" hidden="false" customHeight="false" outlineLevel="0" collapsed="false">
      <c r="B57" s="10" t="s">
        <v>557</v>
      </c>
      <c r="C57" s="6" t="n">
        <f aca="false">C27</f>
        <v>120844529.417484</v>
      </c>
    </row>
    <row r="58" customFormat="false" ht="15" hidden="false" customHeight="false" outlineLevel="0" collapsed="false">
      <c r="B58" s="10" t="s">
        <v>558</v>
      </c>
      <c r="C58" s="6" t="n">
        <f aca="false">C54</f>
        <v>19146643.6570993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6699"/>
    <pageSetUpPr fitToPage="false"/>
  </sheetPr>
  <dimension ref="B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B1" s="20" t="s">
        <v>562</v>
      </c>
    </row>
    <row r="3" customFormat="false" ht="15" hidden="false" customHeight="false" outlineLevel="0" collapsed="false">
      <c r="B3" s="1" t="s">
        <v>563</v>
      </c>
    </row>
    <row r="4" customFormat="false" ht="15" hidden="false" customHeight="false" outlineLevel="0" collapsed="false">
      <c r="B4" s="10" t="s">
        <v>212</v>
      </c>
      <c r="C4" s="29" t="s">
        <v>564</v>
      </c>
    </row>
    <row r="5" customFormat="false" ht="15" hidden="false" customHeight="false" outlineLevel="0" collapsed="false">
      <c r="B5" s="10" t="s">
        <v>216</v>
      </c>
      <c r="C5" s="29" t="s">
        <v>565</v>
      </c>
    </row>
    <row r="6" customFormat="false" ht="15" hidden="false" customHeight="false" outlineLevel="0" collapsed="false">
      <c r="B6" s="10" t="s">
        <v>226</v>
      </c>
      <c r="C6" s="29" t="s">
        <v>566</v>
      </c>
    </row>
    <row r="7" customFormat="false" ht="15" hidden="false" customHeight="false" outlineLevel="0" collapsed="false">
      <c r="B7" s="10" t="s">
        <v>230</v>
      </c>
      <c r="C7" s="29" t="s">
        <v>567</v>
      </c>
    </row>
    <row r="8" customFormat="false" ht="15" hidden="false" customHeight="false" outlineLevel="0" collapsed="false">
      <c r="B8" s="10" t="s">
        <v>236</v>
      </c>
      <c r="C8" s="29" t="s">
        <v>238</v>
      </c>
    </row>
    <row r="9" customFormat="false" ht="15" hidden="false" customHeight="false" outlineLevel="0" collapsed="false">
      <c r="B9" s="10" t="s">
        <v>240</v>
      </c>
      <c r="C9" s="29" t="s">
        <v>568</v>
      </c>
    </row>
    <row r="10" customFormat="false" ht="15" hidden="false" customHeight="false" outlineLevel="0" collapsed="false">
      <c r="B10" s="10" t="s">
        <v>246</v>
      </c>
      <c r="C10" s="29" t="s">
        <v>569</v>
      </c>
    </row>
    <row r="11" customFormat="false" ht="15" hidden="false" customHeight="false" outlineLevel="0" collapsed="false">
      <c r="B11" s="10" t="s">
        <v>250</v>
      </c>
      <c r="C11" s="29" t="s">
        <v>570</v>
      </c>
    </row>
    <row r="12" customFormat="false" ht="15" hidden="false" customHeight="false" outlineLevel="0" collapsed="false">
      <c r="B12" s="10" t="s">
        <v>256</v>
      </c>
      <c r="C12" s="29" t="s">
        <v>571</v>
      </c>
    </row>
    <row r="13" customFormat="false" ht="15" hidden="false" customHeight="false" outlineLevel="0" collapsed="false">
      <c r="B13" s="10" t="s">
        <v>260</v>
      </c>
      <c r="C13" s="29" t="s">
        <v>572</v>
      </c>
    </row>
    <row r="15" customFormat="false" ht="15" hidden="false" customHeight="false" outlineLevel="0" collapsed="false">
      <c r="B15" s="1" t="s">
        <v>62</v>
      </c>
    </row>
    <row r="16" customFormat="false" ht="15" hidden="false" customHeight="false" outlineLevel="0" collapsed="false">
      <c r="B16" s="10" t="s">
        <v>190</v>
      </c>
      <c r="C16" s="29" t="s">
        <v>573</v>
      </c>
    </row>
    <row r="17" customFormat="false" ht="15" hidden="false" customHeight="false" outlineLevel="0" collapsed="false">
      <c r="B17" s="10" t="s">
        <v>194</v>
      </c>
      <c r="C17" s="29" t="s">
        <v>155</v>
      </c>
    </row>
    <row r="18" customFormat="false" ht="15" hidden="false" customHeight="false" outlineLevel="0" collapsed="false">
      <c r="B18" s="10" t="s">
        <v>574</v>
      </c>
      <c r="C18" s="29" t="s">
        <v>575</v>
      </c>
    </row>
    <row r="19" customFormat="false" ht="15" hidden="false" customHeight="false" outlineLevel="0" collapsed="false">
      <c r="B19" s="10" t="s">
        <v>576</v>
      </c>
      <c r="C19" s="29" t="s">
        <v>155</v>
      </c>
    </row>
    <row r="21" customFormat="false" ht="15" hidden="false" customHeight="false" outlineLevel="0" collapsed="false">
      <c r="B21" s="1" t="s">
        <v>577</v>
      </c>
    </row>
    <row r="22" customFormat="false" ht="15" hidden="false" customHeight="false" outlineLevel="0" collapsed="false">
      <c r="B22" s="10" t="s">
        <v>578</v>
      </c>
      <c r="C22" s="29" t="s">
        <v>579</v>
      </c>
    </row>
    <row r="23" customFormat="false" ht="15" hidden="false" customHeight="false" outlineLevel="0" collapsed="false">
      <c r="B23" s="10" t="s">
        <v>31</v>
      </c>
      <c r="C23" s="29" t="s">
        <v>580</v>
      </c>
    </row>
    <row r="24" customFormat="false" ht="15" hidden="false" customHeight="false" outlineLevel="0" collapsed="false">
      <c r="B24" s="10" t="s">
        <v>32</v>
      </c>
      <c r="C24" s="29" t="s">
        <v>155</v>
      </c>
    </row>
    <row r="25" customFormat="false" ht="15" hidden="false" customHeight="false" outlineLevel="0" collapsed="false">
      <c r="B25" s="10" t="s">
        <v>581</v>
      </c>
      <c r="C25" s="29" t="s">
        <v>157</v>
      </c>
    </row>
    <row r="26" customFormat="false" ht="15" hidden="false" customHeight="false" outlineLevel="0" collapsed="false">
      <c r="B26" s="10" t="s">
        <v>582</v>
      </c>
      <c r="C26" s="29" t="s">
        <v>149</v>
      </c>
    </row>
    <row r="28" customFormat="false" ht="15" hidden="false" customHeight="false" outlineLevel="0" collapsed="false">
      <c r="B28" s="1" t="s">
        <v>583</v>
      </c>
    </row>
    <row r="29" customFormat="false" ht="15" hidden="false" customHeight="false" outlineLevel="0" collapsed="false">
      <c r="B29" s="10" t="s">
        <v>56</v>
      </c>
      <c r="C29" s="29" t="s">
        <v>175</v>
      </c>
    </row>
    <row r="30" customFormat="false" ht="15" hidden="false" customHeight="false" outlineLevel="0" collapsed="false">
      <c r="B30" s="10" t="s">
        <v>177</v>
      </c>
      <c r="C30" s="29" t="s">
        <v>179</v>
      </c>
    </row>
    <row r="31" customFormat="false" ht="15" hidden="false" customHeight="false" outlineLevel="0" collapsed="false">
      <c r="B31" s="10" t="s">
        <v>452</v>
      </c>
      <c r="C31" s="29" t="s">
        <v>179</v>
      </c>
    </row>
    <row r="33" customFormat="false" ht="15" hidden="false" customHeight="false" outlineLevel="0" collapsed="false">
      <c r="B33" s="1" t="s">
        <v>584</v>
      </c>
    </row>
    <row r="34" customFormat="false" ht="15" hidden="false" customHeight="false" outlineLevel="0" collapsed="false">
      <c r="B34" s="10" t="s">
        <v>585</v>
      </c>
      <c r="C34" s="29" t="s">
        <v>586</v>
      </c>
    </row>
    <row r="35" customFormat="false" ht="15" hidden="false" customHeight="false" outlineLevel="0" collapsed="false">
      <c r="B35" s="10" t="s">
        <v>94</v>
      </c>
      <c r="C35" s="29" t="s">
        <v>284</v>
      </c>
    </row>
    <row r="37" customFormat="false" ht="15" hidden="false" customHeight="false" outlineLevel="0" collapsed="false">
      <c r="B37" s="1" t="s">
        <v>587</v>
      </c>
    </row>
    <row r="38" customFormat="false" ht="15" hidden="false" customHeight="false" outlineLevel="0" collapsed="false">
      <c r="B38" s="10" t="s">
        <v>106</v>
      </c>
      <c r="C38" s="29" t="s">
        <v>588</v>
      </c>
    </row>
    <row r="39" customFormat="false" ht="15" hidden="false" customHeight="false" outlineLevel="0" collapsed="false">
      <c r="B39" s="10" t="s">
        <v>109</v>
      </c>
      <c r="C39" s="29" t="s">
        <v>589</v>
      </c>
    </row>
    <row r="41" customFormat="false" ht="15" hidden="false" customHeight="false" outlineLevel="0" collapsed="false">
      <c r="B41" s="1" t="s">
        <v>590</v>
      </c>
    </row>
    <row r="42" customFormat="false" ht="15" hidden="false" customHeight="false" outlineLevel="0" collapsed="false">
      <c r="B42" s="10" t="s">
        <v>591</v>
      </c>
      <c r="C42" s="29" t="s">
        <v>592</v>
      </c>
    </row>
    <row r="43" customFormat="false" ht="15" hidden="false" customHeight="false" outlineLevel="0" collapsed="false">
      <c r="B43" s="10" t="s">
        <v>593</v>
      </c>
      <c r="C43" s="29" t="s">
        <v>592</v>
      </c>
    </row>
    <row r="44" customFormat="false" ht="15" hidden="false" customHeight="false" outlineLevel="0" collapsed="false">
      <c r="B44" s="10" t="s">
        <v>594</v>
      </c>
      <c r="C44" s="29" t="s">
        <v>595</v>
      </c>
    </row>
    <row r="46" customFormat="false" ht="15" hidden="false" customHeight="false" outlineLevel="0" collapsed="false">
      <c r="B46" s="1" t="s">
        <v>596</v>
      </c>
    </row>
    <row r="47" customFormat="false" ht="15" hidden="false" customHeight="false" outlineLevel="0" collapsed="false">
      <c r="B47" s="10" t="s">
        <v>597</v>
      </c>
      <c r="C47" s="29" t="s">
        <v>598</v>
      </c>
    </row>
    <row r="48" customFormat="false" ht="15" hidden="false" customHeight="false" outlineLevel="0" collapsed="false">
      <c r="B48" s="10" t="s">
        <v>599</v>
      </c>
      <c r="C48" s="29" t="s">
        <v>600</v>
      </c>
    </row>
    <row r="49" customFormat="false" ht="15" hidden="false" customHeight="false" outlineLevel="0" collapsed="false">
      <c r="B49" s="10" t="s">
        <v>601</v>
      </c>
      <c r="C49" s="29" t="s">
        <v>602</v>
      </c>
    </row>
    <row r="50" customFormat="false" ht="15" hidden="false" customHeight="false" outlineLevel="0" collapsed="false">
      <c r="B50" s="10" t="s">
        <v>603</v>
      </c>
      <c r="C50" s="29" t="s">
        <v>604</v>
      </c>
    </row>
    <row r="51" customFormat="false" ht="15" hidden="false" customHeight="false" outlineLevel="0" collapsed="false">
      <c r="B51" s="10" t="s">
        <v>605</v>
      </c>
      <c r="C51" s="29" t="s">
        <v>606</v>
      </c>
    </row>
    <row r="52" customFormat="false" ht="15" hidden="false" customHeight="false" outlineLevel="0" collapsed="false">
      <c r="B52" s="10" t="s">
        <v>607</v>
      </c>
      <c r="C52" s="29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B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7" min="5" style="0" width="10"/>
  </cols>
  <sheetData>
    <row r="1" customFormat="false" ht="17.35" hidden="false" customHeight="false" outlineLevel="0" collapsed="false">
      <c r="B1" s="20" t="s">
        <v>609</v>
      </c>
    </row>
    <row r="3" customFormat="false" ht="15" hidden="false" customHeight="false" outlineLevel="0" collapsed="false">
      <c r="B3" s="30" t="s">
        <v>610</v>
      </c>
      <c r="C3" s="30"/>
      <c r="D3" s="30"/>
      <c r="E3" s="30"/>
      <c r="F3" s="30"/>
      <c r="G3" s="30"/>
    </row>
    <row r="4" customFormat="false" ht="15" hidden="false" customHeight="false" outlineLevel="0" collapsed="false">
      <c r="B4" s="31" t="s">
        <v>611</v>
      </c>
      <c r="C4" s="31" t="s">
        <v>612</v>
      </c>
      <c r="D4" s="31" t="s">
        <v>613</v>
      </c>
      <c r="E4" s="31" t="s">
        <v>507</v>
      </c>
      <c r="F4" s="31" t="s">
        <v>524</v>
      </c>
      <c r="G4" s="31" t="s">
        <v>614</v>
      </c>
    </row>
    <row r="5" customFormat="false" ht="15" hidden="false" customHeight="false" outlineLevel="0" collapsed="false">
      <c r="B5" s="10" t="s">
        <v>615</v>
      </c>
      <c r="C5" s="5" t="s">
        <v>616</v>
      </c>
      <c r="D5" s="32" t="s">
        <v>617</v>
      </c>
      <c r="E5" s="33" t="s">
        <v>618</v>
      </c>
      <c r="F5" s="33" t="s">
        <v>618</v>
      </c>
      <c r="G5" s="33" t="s">
        <v>618</v>
      </c>
    </row>
    <row r="6" customFormat="false" ht="15" hidden="false" customHeight="false" outlineLevel="0" collapsed="false">
      <c r="B6" s="10" t="s">
        <v>619</v>
      </c>
      <c r="C6" s="5" t="s">
        <v>364</v>
      </c>
      <c r="D6" s="32" t="s">
        <v>620</v>
      </c>
      <c r="E6" s="33" t="s">
        <v>618</v>
      </c>
      <c r="F6" s="33" t="s">
        <v>618</v>
      </c>
      <c r="G6" s="33" t="s">
        <v>618</v>
      </c>
    </row>
    <row r="7" customFormat="false" ht="15" hidden="false" customHeight="false" outlineLevel="0" collapsed="false">
      <c r="B7" s="10" t="s">
        <v>621</v>
      </c>
      <c r="C7" s="5" t="s">
        <v>622</v>
      </c>
      <c r="D7" s="32" t="s">
        <v>623</v>
      </c>
      <c r="E7" s="33" t="s">
        <v>618</v>
      </c>
      <c r="F7" s="33" t="s">
        <v>618</v>
      </c>
      <c r="G7" s="33" t="s">
        <v>618</v>
      </c>
    </row>
    <row r="8" customFormat="false" ht="15" hidden="false" customHeight="false" outlineLevel="0" collapsed="false">
      <c r="B8" s="10" t="s">
        <v>624</v>
      </c>
      <c r="C8" s="5" t="s">
        <v>625</v>
      </c>
      <c r="D8" s="32" t="s">
        <v>626</v>
      </c>
      <c r="E8" s="34" t="s">
        <v>82</v>
      </c>
      <c r="F8" s="34" t="s">
        <v>82</v>
      </c>
      <c r="G8" s="33" t="s">
        <v>618</v>
      </c>
    </row>
    <row r="9" customFormat="false" ht="15" hidden="false" customHeight="false" outlineLevel="0" collapsed="false">
      <c r="B9" s="10" t="s">
        <v>627</v>
      </c>
      <c r="C9" s="5" t="s">
        <v>628</v>
      </c>
      <c r="D9" s="32" t="s">
        <v>629</v>
      </c>
      <c r="E9" s="34" t="s">
        <v>82</v>
      </c>
      <c r="F9" s="34" t="s">
        <v>82</v>
      </c>
      <c r="G9" s="33" t="s">
        <v>618</v>
      </c>
    </row>
    <row r="10" customFormat="false" ht="15" hidden="false" customHeight="false" outlineLevel="0" collapsed="false">
      <c r="B10" s="10" t="s">
        <v>630</v>
      </c>
      <c r="C10" s="5" t="s">
        <v>171</v>
      </c>
      <c r="D10" s="32" t="s">
        <v>631</v>
      </c>
      <c r="E10" s="34" t="s">
        <v>82</v>
      </c>
      <c r="F10" s="34" t="s">
        <v>82</v>
      </c>
      <c r="G10" s="33" t="s">
        <v>618</v>
      </c>
    </row>
    <row r="11" customFormat="false" ht="15" hidden="false" customHeight="false" outlineLevel="0" collapsed="false">
      <c r="B11" s="10" t="s">
        <v>632</v>
      </c>
      <c r="C11" s="5" t="s">
        <v>633</v>
      </c>
      <c r="D11" s="32" t="s">
        <v>634</v>
      </c>
      <c r="E11" s="33" t="s">
        <v>618</v>
      </c>
      <c r="F11" s="33" t="s">
        <v>618</v>
      </c>
      <c r="G11" s="33" t="s">
        <v>618</v>
      </c>
    </row>
    <row r="12" customFormat="false" ht="15" hidden="false" customHeight="false" outlineLevel="0" collapsed="false">
      <c r="B12" s="30" t="s">
        <v>635</v>
      </c>
      <c r="C12" s="30"/>
      <c r="D12" s="30"/>
      <c r="E12" s="30"/>
      <c r="F12" s="30"/>
      <c r="G12" s="30"/>
    </row>
    <row r="13" customFormat="false" ht="15" hidden="false" customHeight="false" outlineLevel="0" collapsed="false">
      <c r="B13" s="31" t="s">
        <v>611</v>
      </c>
      <c r="C13" s="31" t="s">
        <v>612</v>
      </c>
      <c r="D13" s="31" t="s">
        <v>613</v>
      </c>
      <c r="E13" s="31" t="s">
        <v>507</v>
      </c>
      <c r="F13" s="31" t="s">
        <v>524</v>
      </c>
      <c r="G13" s="31" t="s">
        <v>614</v>
      </c>
    </row>
    <row r="14" customFormat="false" ht="15" hidden="false" customHeight="false" outlineLevel="0" collapsed="false">
      <c r="B14" s="10" t="s">
        <v>636</v>
      </c>
      <c r="C14" s="5" t="s">
        <v>637</v>
      </c>
      <c r="D14" s="32" t="s">
        <v>638</v>
      </c>
      <c r="E14" s="33" t="s">
        <v>618</v>
      </c>
      <c r="F14" s="33" t="s">
        <v>618</v>
      </c>
      <c r="G14" s="33" t="s">
        <v>618</v>
      </c>
    </row>
    <row r="15" customFormat="false" ht="15" hidden="false" customHeight="false" outlineLevel="0" collapsed="false">
      <c r="B15" s="10" t="s">
        <v>639</v>
      </c>
      <c r="C15" s="5" t="s">
        <v>640</v>
      </c>
      <c r="D15" s="32" t="s">
        <v>641</v>
      </c>
      <c r="E15" s="33" t="s">
        <v>618</v>
      </c>
      <c r="F15" s="33" t="s">
        <v>618</v>
      </c>
      <c r="G15" s="33" t="s">
        <v>618</v>
      </c>
    </row>
    <row r="16" customFormat="false" ht="15" hidden="false" customHeight="false" outlineLevel="0" collapsed="false">
      <c r="B16" s="10" t="s">
        <v>642</v>
      </c>
      <c r="C16" s="5" t="s">
        <v>643</v>
      </c>
      <c r="D16" s="32" t="s">
        <v>644</v>
      </c>
      <c r="E16" s="33" t="s">
        <v>618</v>
      </c>
      <c r="F16" s="33" t="s">
        <v>618</v>
      </c>
      <c r="G16" s="33" t="s">
        <v>618</v>
      </c>
    </row>
    <row r="17" customFormat="false" ht="15" hidden="false" customHeight="false" outlineLevel="0" collapsed="false">
      <c r="B17" s="10" t="s">
        <v>645</v>
      </c>
      <c r="C17" s="5" t="s">
        <v>646</v>
      </c>
      <c r="D17" s="32" t="s">
        <v>647</v>
      </c>
      <c r="E17" s="35" t="s">
        <v>648</v>
      </c>
      <c r="F17" s="35" t="s">
        <v>648</v>
      </c>
      <c r="G17" s="35" t="s">
        <v>648</v>
      </c>
    </row>
    <row r="18" customFormat="false" ht="15" hidden="false" customHeight="false" outlineLevel="0" collapsed="false">
      <c r="B18" s="10" t="s">
        <v>649</v>
      </c>
      <c r="C18" s="5" t="s">
        <v>300</v>
      </c>
      <c r="D18" s="32" t="s">
        <v>650</v>
      </c>
      <c r="E18" s="35" t="s">
        <v>648</v>
      </c>
      <c r="F18" s="35" t="s">
        <v>648</v>
      </c>
      <c r="G18" s="35" t="s">
        <v>648</v>
      </c>
    </row>
    <row r="19" customFormat="false" ht="15" hidden="false" customHeight="false" outlineLevel="0" collapsed="false">
      <c r="B19" s="10" t="s">
        <v>651</v>
      </c>
      <c r="C19" s="5" t="s">
        <v>652</v>
      </c>
      <c r="D19" s="32" t="s">
        <v>653</v>
      </c>
      <c r="E19" s="34" t="s">
        <v>82</v>
      </c>
      <c r="F19" s="35" t="s">
        <v>648</v>
      </c>
      <c r="G19" s="35" t="s">
        <v>648</v>
      </c>
    </row>
    <row r="20" customFormat="false" ht="15" hidden="false" customHeight="false" outlineLevel="0" collapsed="false">
      <c r="B20" s="10" t="s">
        <v>654</v>
      </c>
      <c r="C20" s="5" t="s">
        <v>272</v>
      </c>
      <c r="D20" s="32" t="s">
        <v>655</v>
      </c>
      <c r="E20" s="34" t="s">
        <v>82</v>
      </c>
      <c r="F20" s="35" t="s">
        <v>648</v>
      </c>
      <c r="G20" s="35" t="s">
        <v>648</v>
      </c>
    </row>
    <row r="21" customFormat="false" ht="15" hidden="false" customHeight="false" outlineLevel="0" collapsed="false">
      <c r="B21" s="10" t="s">
        <v>656</v>
      </c>
      <c r="C21" s="5" t="s">
        <v>657</v>
      </c>
      <c r="D21" s="32" t="s">
        <v>658</v>
      </c>
      <c r="E21" s="35" t="s">
        <v>648</v>
      </c>
      <c r="F21" s="34" t="s">
        <v>82</v>
      </c>
      <c r="G21" s="35" t="s">
        <v>648</v>
      </c>
    </row>
    <row r="22" customFormat="false" ht="15" hidden="false" customHeight="false" outlineLevel="0" collapsed="false">
      <c r="B22" s="10" t="s">
        <v>659</v>
      </c>
      <c r="C22" s="5" t="s">
        <v>660</v>
      </c>
      <c r="D22" s="32" t="s">
        <v>661</v>
      </c>
      <c r="E22" s="35" t="s">
        <v>648</v>
      </c>
      <c r="F22" s="34" t="s">
        <v>82</v>
      </c>
      <c r="G22" s="35" t="s">
        <v>648</v>
      </c>
    </row>
    <row r="23" customFormat="false" ht="15" hidden="false" customHeight="false" outlineLevel="0" collapsed="false">
      <c r="B23" s="10" t="s">
        <v>662</v>
      </c>
      <c r="C23" s="5" t="s">
        <v>663</v>
      </c>
      <c r="D23" s="32" t="s">
        <v>664</v>
      </c>
      <c r="E23" s="35" t="s">
        <v>648</v>
      </c>
      <c r="F23" s="35" t="s">
        <v>648</v>
      </c>
      <c r="G23" s="35" t="s">
        <v>648</v>
      </c>
    </row>
    <row r="24" customFormat="false" ht="15" hidden="false" customHeight="false" outlineLevel="0" collapsed="false">
      <c r="B24" s="10" t="s">
        <v>665</v>
      </c>
      <c r="C24" s="5" t="s">
        <v>187</v>
      </c>
      <c r="D24" s="32" t="s">
        <v>666</v>
      </c>
      <c r="E24" s="35" t="s">
        <v>648</v>
      </c>
      <c r="F24" s="35" t="s">
        <v>648</v>
      </c>
      <c r="G24" s="35" t="s">
        <v>648</v>
      </c>
    </row>
    <row r="25" customFormat="false" ht="15" hidden="false" customHeight="false" outlineLevel="0" collapsed="false">
      <c r="B25" s="30" t="s">
        <v>667</v>
      </c>
      <c r="C25" s="30"/>
      <c r="D25" s="30"/>
      <c r="E25" s="30"/>
      <c r="F25" s="30"/>
      <c r="G25" s="30"/>
    </row>
    <row r="26" customFormat="false" ht="15" hidden="false" customHeight="false" outlineLevel="0" collapsed="false">
      <c r="B26" s="31" t="s">
        <v>611</v>
      </c>
      <c r="C26" s="31" t="s">
        <v>612</v>
      </c>
      <c r="D26" s="31" t="s">
        <v>613</v>
      </c>
      <c r="E26" s="31" t="s">
        <v>507</v>
      </c>
      <c r="F26" s="31" t="s">
        <v>524</v>
      </c>
      <c r="G26" s="31" t="s">
        <v>614</v>
      </c>
    </row>
    <row r="27" customFormat="false" ht="15" hidden="false" customHeight="false" outlineLevel="0" collapsed="false">
      <c r="B27" s="10" t="s">
        <v>668</v>
      </c>
      <c r="C27" s="5" t="s">
        <v>669</v>
      </c>
      <c r="D27" s="32" t="s">
        <v>670</v>
      </c>
      <c r="E27" s="35" t="s">
        <v>648</v>
      </c>
      <c r="F27" s="35" t="s">
        <v>648</v>
      </c>
      <c r="G27" s="34" t="s">
        <v>82</v>
      </c>
    </row>
    <row r="28" customFormat="false" ht="15" hidden="false" customHeight="false" outlineLevel="0" collapsed="false">
      <c r="B28" s="10" t="s">
        <v>671</v>
      </c>
      <c r="C28" s="5" t="s">
        <v>672</v>
      </c>
      <c r="D28" s="32" t="s">
        <v>673</v>
      </c>
      <c r="E28" s="36" t="s">
        <v>674</v>
      </c>
      <c r="F28" s="36" t="s">
        <v>674</v>
      </c>
      <c r="G28" s="36" t="s">
        <v>674</v>
      </c>
    </row>
    <row r="29" customFormat="false" ht="15" hidden="false" customHeight="false" outlineLevel="0" collapsed="false">
      <c r="B29" s="10" t="s">
        <v>675</v>
      </c>
      <c r="C29" s="5" t="s">
        <v>309</v>
      </c>
      <c r="D29" s="32" t="s">
        <v>676</v>
      </c>
      <c r="E29" s="36" t="s">
        <v>674</v>
      </c>
      <c r="F29" s="36" t="s">
        <v>674</v>
      </c>
      <c r="G29" s="36" t="s">
        <v>674</v>
      </c>
    </row>
    <row r="30" customFormat="false" ht="15" hidden="false" customHeight="false" outlineLevel="0" collapsed="false">
      <c r="B30" s="10" t="s">
        <v>677</v>
      </c>
      <c r="C30" s="5" t="s">
        <v>678</v>
      </c>
      <c r="D30" s="32" t="s">
        <v>679</v>
      </c>
      <c r="E30" s="36" t="s">
        <v>674</v>
      </c>
      <c r="F30" s="36" t="s">
        <v>674</v>
      </c>
      <c r="G30" s="36" t="s">
        <v>674</v>
      </c>
    </row>
    <row r="31" customFormat="false" ht="15" hidden="false" customHeight="false" outlineLevel="0" collapsed="false">
      <c r="B31" s="10" t="s">
        <v>680</v>
      </c>
      <c r="C31" s="5" t="s">
        <v>681</v>
      </c>
      <c r="D31" s="32" t="s">
        <v>682</v>
      </c>
      <c r="E31" s="36" t="s">
        <v>674</v>
      </c>
      <c r="F31" s="34" t="s">
        <v>82</v>
      </c>
      <c r="G31" s="34" t="s">
        <v>82</v>
      </c>
    </row>
    <row r="32" customFormat="false" ht="15" hidden="false" customHeight="false" outlineLevel="0" collapsed="false">
      <c r="B32" s="10" t="s">
        <v>683</v>
      </c>
      <c r="C32" s="5" t="s">
        <v>684</v>
      </c>
      <c r="D32" s="32" t="s">
        <v>685</v>
      </c>
      <c r="E32" s="36" t="s">
        <v>674</v>
      </c>
      <c r="F32" s="34" t="s">
        <v>82</v>
      </c>
      <c r="G32" s="34" t="s">
        <v>82</v>
      </c>
    </row>
    <row r="33" customFormat="false" ht="15" hidden="false" customHeight="false" outlineLevel="0" collapsed="false">
      <c r="B33" s="10" t="s">
        <v>686</v>
      </c>
      <c r="C33" s="5" t="s">
        <v>687</v>
      </c>
      <c r="D33" s="32" t="s">
        <v>688</v>
      </c>
      <c r="E33" s="34" t="s">
        <v>82</v>
      </c>
      <c r="F33" s="36" t="s">
        <v>674</v>
      </c>
      <c r="G33" s="36" t="s">
        <v>674</v>
      </c>
    </row>
    <row r="34" customFormat="false" ht="15" hidden="false" customHeight="false" outlineLevel="0" collapsed="false">
      <c r="B34" s="10" t="s">
        <v>689</v>
      </c>
      <c r="C34" s="5" t="s">
        <v>690</v>
      </c>
      <c r="D34" s="32" t="s">
        <v>691</v>
      </c>
      <c r="E34" s="34" t="s">
        <v>82</v>
      </c>
      <c r="F34" s="36" t="s">
        <v>674</v>
      </c>
      <c r="G34" s="36" t="s">
        <v>674</v>
      </c>
    </row>
    <row r="35" customFormat="false" ht="15" hidden="false" customHeight="false" outlineLevel="0" collapsed="false">
      <c r="B35" s="10" t="s">
        <v>692</v>
      </c>
      <c r="C35" s="5" t="s">
        <v>693</v>
      </c>
      <c r="D35" s="32" t="s">
        <v>694</v>
      </c>
      <c r="E35" s="34" t="s">
        <v>82</v>
      </c>
      <c r="F35" s="36" t="s">
        <v>674</v>
      </c>
      <c r="G35" s="34" t="s">
        <v>82</v>
      </c>
    </row>
    <row r="36" customFormat="false" ht="15" hidden="false" customHeight="false" outlineLevel="0" collapsed="false">
      <c r="B36" s="10" t="s">
        <v>695</v>
      </c>
      <c r="C36" s="5" t="s">
        <v>167</v>
      </c>
      <c r="D36" s="32" t="s">
        <v>696</v>
      </c>
      <c r="E36" s="36" t="s">
        <v>674</v>
      </c>
      <c r="F36" s="36" t="s">
        <v>674</v>
      </c>
      <c r="G36" s="34" t="s">
        <v>82</v>
      </c>
    </row>
    <row r="37" customFormat="false" ht="15" hidden="false" customHeight="false" outlineLevel="0" collapsed="false">
      <c r="B37" s="10" t="s">
        <v>697</v>
      </c>
      <c r="C37" s="5" t="s">
        <v>365</v>
      </c>
      <c r="D37" s="32" t="s">
        <v>698</v>
      </c>
      <c r="E37" s="36" t="s">
        <v>674</v>
      </c>
      <c r="F37" s="36" t="s">
        <v>674</v>
      </c>
      <c r="G37" s="34" t="s">
        <v>82</v>
      </c>
    </row>
    <row r="38" customFormat="false" ht="15" hidden="false" customHeight="false" outlineLevel="0" collapsed="false">
      <c r="B38" s="10" t="s">
        <v>699</v>
      </c>
      <c r="C38" s="5" t="s">
        <v>700</v>
      </c>
      <c r="D38" s="32" t="s">
        <v>701</v>
      </c>
      <c r="E38" s="36" t="s">
        <v>674</v>
      </c>
      <c r="F38" s="36" t="s">
        <v>674</v>
      </c>
      <c r="G38" s="34" t="s">
        <v>82</v>
      </c>
    </row>
    <row r="39" customFormat="false" ht="15" hidden="false" customHeight="false" outlineLevel="0" collapsed="false">
      <c r="B39" s="30" t="s">
        <v>702</v>
      </c>
      <c r="C39" s="30"/>
      <c r="D39" s="30"/>
      <c r="E39" s="30"/>
      <c r="F39" s="30"/>
      <c r="G39" s="30"/>
    </row>
    <row r="40" customFormat="false" ht="15" hidden="false" customHeight="false" outlineLevel="0" collapsed="false">
      <c r="B40" s="31" t="s">
        <v>611</v>
      </c>
      <c r="C40" s="31" t="s">
        <v>612</v>
      </c>
      <c r="D40" s="31" t="s">
        <v>613</v>
      </c>
      <c r="E40" s="31" t="s">
        <v>507</v>
      </c>
      <c r="F40" s="31" t="s">
        <v>524</v>
      </c>
      <c r="G40" s="31" t="s">
        <v>614</v>
      </c>
    </row>
    <row r="41" customFormat="false" ht="15" hidden="false" customHeight="false" outlineLevel="0" collapsed="false">
      <c r="B41" s="10" t="s">
        <v>703</v>
      </c>
      <c r="C41" s="5" t="s">
        <v>704</v>
      </c>
      <c r="D41" s="32" t="s">
        <v>705</v>
      </c>
      <c r="E41" s="36" t="s">
        <v>674</v>
      </c>
      <c r="F41" s="34" t="s">
        <v>82</v>
      </c>
      <c r="G41" s="34" t="s">
        <v>82</v>
      </c>
    </row>
    <row r="42" customFormat="false" ht="15" hidden="false" customHeight="false" outlineLevel="0" collapsed="false">
      <c r="B42" s="10" t="s">
        <v>706</v>
      </c>
      <c r="C42" s="5" t="s">
        <v>707</v>
      </c>
      <c r="D42" s="32" t="s">
        <v>708</v>
      </c>
      <c r="E42" s="36" t="s">
        <v>674</v>
      </c>
      <c r="F42" s="34" t="s">
        <v>82</v>
      </c>
      <c r="G42" s="34" t="s">
        <v>82</v>
      </c>
    </row>
    <row r="43" customFormat="false" ht="15" hidden="false" customHeight="false" outlineLevel="0" collapsed="false">
      <c r="B43" s="10" t="s">
        <v>709</v>
      </c>
      <c r="C43" s="5" t="s">
        <v>710</v>
      </c>
      <c r="D43" s="32" t="s">
        <v>711</v>
      </c>
      <c r="E43" s="36" t="s">
        <v>674</v>
      </c>
      <c r="F43" s="34" t="s">
        <v>82</v>
      </c>
      <c r="G43" s="34" t="s">
        <v>82</v>
      </c>
    </row>
    <row r="44" customFormat="false" ht="15" hidden="false" customHeight="false" outlineLevel="0" collapsed="false">
      <c r="B44" s="10" t="s">
        <v>712</v>
      </c>
      <c r="C44" s="5" t="s">
        <v>713</v>
      </c>
      <c r="D44" s="32" t="s">
        <v>714</v>
      </c>
      <c r="E44" s="36" t="s">
        <v>674</v>
      </c>
      <c r="F44" s="34" t="s">
        <v>82</v>
      </c>
      <c r="G44" s="34" t="s">
        <v>82</v>
      </c>
    </row>
    <row r="45" customFormat="false" ht="15" hidden="false" customHeight="false" outlineLevel="0" collapsed="false">
      <c r="B45" s="10" t="s">
        <v>715</v>
      </c>
      <c r="C45" s="5" t="s">
        <v>716</v>
      </c>
      <c r="D45" s="32" t="s">
        <v>717</v>
      </c>
      <c r="E45" s="36" t="s">
        <v>674</v>
      </c>
      <c r="F45" s="34" t="s">
        <v>82</v>
      </c>
      <c r="G45" s="34" t="s">
        <v>82</v>
      </c>
    </row>
    <row r="46" customFormat="false" ht="15" hidden="false" customHeight="false" outlineLevel="0" collapsed="false">
      <c r="B46" s="10" t="s">
        <v>718</v>
      </c>
      <c r="C46" s="5" t="s">
        <v>171</v>
      </c>
      <c r="D46" s="32" t="s">
        <v>719</v>
      </c>
      <c r="E46" s="34" t="s">
        <v>82</v>
      </c>
      <c r="F46" s="36" t="s">
        <v>674</v>
      </c>
      <c r="G46" s="34" t="s">
        <v>82</v>
      </c>
    </row>
    <row r="48" customFormat="false" ht="15" hidden="false" customHeight="false" outlineLevel="0" collapsed="false">
      <c r="B48" s="30" t="s">
        <v>141</v>
      </c>
      <c r="C48" s="30"/>
      <c r="D48" s="30"/>
      <c r="E48" s="30"/>
      <c r="F48" s="30"/>
      <c r="G48" s="30"/>
    </row>
    <row r="49" customFormat="false" ht="15" hidden="false" customHeight="false" outlineLevel="0" collapsed="false">
      <c r="B49" s="13" t="s">
        <v>720</v>
      </c>
    </row>
    <row r="50" customFormat="false" ht="15" hidden="false" customHeight="false" outlineLevel="0" collapsed="false">
      <c r="B50" s="13" t="s">
        <v>721</v>
      </c>
    </row>
    <row r="51" customFormat="false" ht="15" hidden="false" customHeight="false" outlineLevel="0" collapsed="false">
      <c r="B51" s="13" t="s">
        <v>722</v>
      </c>
    </row>
    <row r="52" customFormat="false" ht="15" hidden="false" customHeight="false" outlineLevel="0" collapsed="false">
      <c r="B52" s="13" t="s">
        <v>723</v>
      </c>
    </row>
    <row r="53" customFormat="false" ht="15" hidden="false" customHeight="false" outlineLevel="0" collapsed="false">
      <c r="B53" s="13"/>
    </row>
    <row r="54" customFormat="false" ht="15" hidden="false" customHeight="false" outlineLevel="0" collapsed="false">
      <c r="B54" s="13" t="s">
        <v>724</v>
      </c>
    </row>
  </sheetData>
  <mergeCells count="5">
    <mergeCell ref="B3:G3"/>
    <mergeCell ref="B12:G12"/>
    <mergeCell ref="B25:G25"/>
    <mergeCell ref="B39:G39"/>
    <mergeCell ref="B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2026-02-14T15:41:10Z</dcterms:created>
  <dc:creator>openpyxl</dc:creator>
  <dc:description/>
  <dc:language>en-US</dc:language>
  <cp:lastModifiedBy/>
  <dcterms:modified xsi:type="dcterms:W3CDTF">2026-02-14T15:41:10Z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